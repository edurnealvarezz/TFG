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lla" sheetId="1" state="visible" r:id="rId1"/>
    <sheet name="Instruccions" sheetId="2" state="visible" r:id="rId2"/>
    <sheet name="Llistes" sheetId="3" state="hidden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5" authorId="0" shapeId="0">
      <text>
        <r>
          <rPr>
            <sz val="9"/>
            <color rgb="FF000000"/>
            <name val="Tahoma"/>
          </rPr>
          <t xml:space="preserve">Identificador
(opcional)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Edat
(anys)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Desplaçament
al campus (min)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Nombre
assignatures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Nota d'accés
(1=5.0-5.9 … 5=≥9.0)</t>
        </r>
      </text>
    </comment>
    <comment ref="F5" authorId="0" shapeId="0">
      <text>
        <r>
          <rPr>
            <sz val="9"/>
            <color rgb="FF000000"/>
            <name val="Tahoma"/>
          </rPr>
          <t xml:space="preserve">Tipus
d'avaluació</t>
        </r>
      </text>
    </comment>
    <comment ref="G5" authorId="0" shapeId="0">
      <text>
        <r>
          <rPr>
            <sz val="9"/>
            <color rgb="FF000000"/>
            <name val="Tahoma"/>
          </rPr>
          <t xml:space="preserve">Curs
acadèmic</t>
        </r>
      </text>
    </comment>
    <comment ref="H5" authorId="0" shapeId="0">
      <text>
        <r>
          <rPr>
            <sz val="9"/>
            <color rgb="FF000000"/>
            <name val="Tahoma"/>
          </rPr>
          <t xml:space="preserve">Gènere</t>
        </r>
      </text>
    </comment>
    <comment ref="I5" authorId="0" shapeId="0">
      <text>
        <r>
          <rPr>
            <sz val="9"/>
            <color rgb="FF000000"/>
            <name val="Tahoma"/>
          </rPr>
          <t xml:space="preserve">Grau que
cursa</t>
        </r>
      </text>
    </comment>
    <comment ref="J5" authorId="0" shapeId="0">
      <text>
        <r>
          <rPr>
            <sz val="9"/>
            <color rgb="FF000000"/>
            <name val="Tahoma"/>
          </rPr>
          <t xml:space="preserve">Dedicació
laboral</t>
        </r>
      </text>
    </comment>
    <comment ref="K5" authorId="0" shapeId="0">
      <text>
        <r>
          <rPr>
            <sz val="9"/>
            <color rgb="FF000000"/>
            <name val="Tahoma"/>
          </rPr>
          <t xml:space="preserve">IA: ús habitual
estudi</t>
        </r>
      </text>
    </comment>
    <comment ref="L5" authorId="0" shapeId="0">
      <text>
        <r>
          <rPr>
            <sz val="9"/>
            <color rgb="FF000000"/>
            <name val="Tahoma"/>
          </rPr>
          <t xml:space="preserve">IA: ajuda a
entendre</t>
        </r>
      </text>
    </comment>
    <comment ref="M5" authorId="0" shapeId="0">
      <text>
        <r>
          <rPr>
            <sz val="9"/>
            <color rgb="FF000000"/>
            <name val="Tahoma"/>
          </rPr>
          <t xml:space="preserve">IA: millora
rendiment</t>
        </r>
      </text>
    </comment>
    <comment ref="N5" authorId="0" shapeId="0">
      <text>
        <r>
          <rPr>
            <sz val="9"/>
            <color rgb="FF000000"/>
            <name val="Tahoma"/>
          </rPr>
          <t xml:space="preserve">IA: processa
PDFs</t>
        </r>
      </text>
    </comment>
    <comment ref="O5" authorId="0" shapeId="0">
      <text>
        <r>
          <rPr>
            <sz val="9"/>
            <color rgb="FF000000"/>
            <name val="Tahoma"/>
          </rPr>
          <t xml:space="preserve">IA: substitut
de classe</t>
        </r>
      </text>
    </comment>
    <comment ref="P5" authorId="0" shapeId="0">
      <text>
        <r>
          <rPr>
            <sz val="9"/>
            <color rgb="FF000000"/>
            <name val="Tahoma"/>
          </rPr>
          <t xml:space="preserve">IA: redueix
atenció</t>
        </r>
      </text>
    </comment>
    <comment ref="Q5" authorId="0" shapeId="0">
      <text>
        <r>
          <rPr>
            <sz val="9"/>
            <color rgb="FF000000"/>
            <name val="Tahoma"/>
          </rPr>
          <t xml:space="preserve">Confia IA més
que professor</t>
        </r>
      </text>
    </comment>
  </commentList>
</comments>
</file>

<file path=xl/sharedStrings.xml><?xml version="1.0" encoding="utf-8"?>
<sst xmlns="http://schemas.openxmlformats.org/spreadsheetml/2006/main" count="66" uniqueCount="66">
  <si>
    <t xml:space="preserve">PLANTILLA ALUMNAT NOU — Predicció de risc d'absentisme (TFG FEE/UB)</t>
  </si>
  <si>
    <t xml:space="preserve">Emplena les columnes BLAVES (A-Q). Les columnes GRISES es calculen automàticament. Un cop omplert, exporta les columnes S:NA com a CSV i puja-les al Shiny (pestanya Alumnat nou).</t>
  </si>
  <si>
    <t xml:space="preserve">NOTA: 1=5.0-5.9  |  2=6.0-6.9  |  3=7.0-7.9  |  4=8.0-8.9  |  5=≥9.0     IA_* (escala Likert):  1=mai  2=gairebé mai  3=de vegades  4=sovint  5=molt sovint  6=sempre</t>
  </si>
  <si>
    <t xml:space="preserve">ENTRADA DE DADES (emplenar)</t>
  </si>
  <si>
    <t xml:space="preserve">VARIABLES DEL MODEL — calculades automàticament (exportar com a CSV per al Shiny)</t>
  </si>
  <si>
    <t xml:space="preserve">id</t>
  </si>
  <si>
    <t xml:space="preserve">EDAT</t>
  </si>
  <si>
    <t xml:space="preserve">DESPL</t>
  </si>
  <si>
    <t xml:space="preserve">N_ASSIG</t>
  </si>
  <si>
    <t xml:space="preserve">NOTA</t>
  </si>
  <si>
    <t xml:space="preserve">T_AVAL</t>
  </si>
  <si>
    <t xml:space="preserve">CURS</t>
  </si>
  <si>
    <t xml:space="preserve">GENERE</t>
  </si>
  <si>
    <t xml:space="preserve">GRAU</t>
  </si>
  <si>
    <t xml:space="preserve">DEDIC</t>
  </si>
  <si>
    <t xml:space="preserve">IA_HABIT</t>
  </si>
  <si>
    <t xml:space="preserve">IA_COMPR</t>
  </si>
  <si>
    <t xml:space="preserve">IA_REND</t>
  </si>
  <si>
    <t xml:space="preserve">IA_PDFS</t>
  </si>
  <si>
    <t xml:space="preserve">IA_SUBST</t>
  </si>
  <si>
    <t xml:space="preserve">IA_ATENC</t>
  </si>
  <si>
    <t xml:space="preserve">IA_CONF</t>
  </si>
  <si>
    <t xml:space="preserve">NOTA_num</t>
  </si>
  <si>
    <t xml:space="preserve">T_AVAL_num</t>
  </si>
  <si>
    <t xml:space="preserve">CURS_1R</t>
  </si>
  <si>
    <t xml:space="preserve">GENERE_Home</t>
  </si>
  <si>
    <t xml:space="preserve">DOBLE_GRAU_EST</t>
  </si>
  <si>
    <t xml:space="preserve">TREB_INTENS</t>
  </si>
  <si>
    <t xml:space="preserve">ADE</t>
  </si>
  <si>
    <t xml:space="preserve">Economia</t>
  </si>
  <si>
    <t xml:space="preserve">Emp.Int</t>
  </si>
  <si>
    <t xml:space="preserve">Sociologia</t>
  </si>
  <si>
    <t xml:space="preserve">Estadística</t>
  </si>
  <si>
    <t xml:space="preserve">Doble Eco+Est</t>
  </si>
  <si>
    <t xml:space="preserve">Doble ADE+Soc</t>
  </si>
  <si>
    <t xml:space="preserve">Doble ADE+Mat</t>
  </si>
  <si>
    <t xml:space="preserve">Doble ADE+Dret</t>
  </si>
  <si>
    <t xml:space="preserve">Doble ADE+Qui</t>
  </si>
  <si>
    <t xml:space="preserve">COM USAR AQUESTA PLANTILLA</t>
  </si>
  <si>
    <t xml:space="preserve"/>
  </si>
  <si>
    <t xml:space="preserve">1. Omple les columnes BLAVES (A fins Q), una fila per alumne.</t>
  </si>
  <si>
    <t xml:space="preserve">2. Les columnes GRISES (a la dreta) es calculen soles amb fórmules d'Excel.</t>
  </si>
  <si>
    <t xml:space="preserve">3. Un cop omplert:</t>
  </si>
  <si>
    <t xml:space="preserve">   a. Selecciona les columnes grises (EDAT fins IA_CONF del model).</t>
  </si>
  <si>
    <t xml:space="preserve">   b. Copia-les i enganxa-les en un nou full/arxiu (Enganxa especial &gt; Valors).</t>
  </si>
  <si>
    <t xml:space="preserve">   c. Desa com a CSV (UTF-8).</t>
  </si>
  <si>
    <t xml:space="preserve">4. Puja el CSV al Shiny, pestanya 'Alumnat nou'.</t>
  </si>
  <si>
    <t xml:space="preserve">CODIFICACIÓ DE LES VARIABLES</t>
  </si>
  <si>
    <t xml:space="preserve">NOTA (nota d'accés a la universitat o expedient previ):</t>
  </si>
  <si>
    <t xml:space="preserve">  1 = 5.0 - 5.9   2 = 6.0 - 6.9   3 = 7.0 - 7.9   4 = 8.0 - 8.9   5 = 9.0 o més</t>
  </si>
  <si>
    <t xml:space="preserve">T_AVAL (tipus d'avaluació de les assignatures):</t>
  </si>
  <si>
    <t xml:space="preserve">  Continuada = avaluació continuada   |   Única = examen únic</t>
  </si>
  <si>
    <t xml:space="preserve">CURS: 1r / 2n / 3r / 4t / 5è / 6è+</t>
  </si>
  <si>
    <t xml:space="preserve">GENERE: Home / Dona / No binari / Prefereixo no respondre</t>
  </si>
  <si>
    <t xml:space="preserve">GRAU (afecta DOBLE_GRAU_EST=1 si és un dels dobles graus):</t>
  </si>
  <si>
    <t xml:space="preserve">  Dobles grau: Estadística | Doble Eco+Est | Doble ADE+Soc | Doble ADE+Mat | Doble ADE+Dret | Doble ADE+Qui</t>
  </si>
  <si>
    <t xml:space="preserve">  Graus simples: ADE | Economia | Emp.Int | Sociologia</t>
  </si>
  <si>
    <t xml:space="preserve">DEDIC (dedicació laboral):</t>
  </si>
  <si>
    <t xml:space="preserve">  E.Complet = estudia a temps complet, no treballa</t>
  </si>
  <si>
    <t xml:space="preserve">  T.Ocasional = treballa ocasionalment</t>
  </si>
  <si>
    <t xml:space="preserve">  T.Parcial = treballa a temps parcial (TREB_INTENS = 1)</t>
  </si>
  <si>
    <t xml:space="preserve">  T.Complet = treballa a temps complet (TREB_INTENS = 1)</t>
  </si>
  <si>
    <t xml:space="preserve">IA_* (escala Likert 1-6):</t>
  </si>
  <si>
    <t xml:space="preserve">  1=mai  2=gairebé mai  3=de vegades  4=sovint  5=molt sovint  6=sempre</t>
  </si>
  <si>
    <t xml:space="preserve">VARIABLES DEL MODEL (columnes grises — no editar):</t>
  </si>
  <si>
    <t xml:space="preserve">EDAT, DESPL, N_ASSIG, NOTA_num, T_AVAL_num, CURS_1R, GENERE_Home, DOBLE_GRAU_EST, TREB_INTENS, IA_HABIT, IA_COMPR, IA_REND, IA_PDFS, IA_SUBST, IA_ATENC, IA_CONF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</si>
</sst>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555555"/>
      <name val="Calibri"/>
      <i/>
    </font>
    <font>
      <sz val="10"/>
      <color rgb="FFFFFFFF"/>
      <name val="Calibri"/>
      <b/>
    </font>
    <font>
      <sz val="10"/>
      <color rgb="FF2C3E50"/>
      <name val="Calibri"/>
      <b/>
    </font>
    <font>
      <sz val="9"/>
      <color rgb="FFFFFFFF"/>
      <name val="Calibri"/>
      <b/>
    </font>
    <font>
      <sz val="9"/>
      <color rgb="FF2C3E50"/>
      <name val="Calibri"/>
      <b/>
    </font>
    <font>
      <sz val="10"/>
      <color rgb="FF000000"/>
      <name val="Calibri"/>
    </font>
    <font>
      <sz val="12"/>
      <color rgb="FFFFFFFF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6E9E"/>
      </patternFill>
    </fill>
    <fill>
      <patternFill patternType="solid">
        <fgColor rgb="FFA8D1E7"/>
      </patternFill>
    </fill>
    <fill>
      <patternFill patternType="solid">
        <fgColor rgb="FF4A90B8"/>
      </patternFill>
    </fill>
    <fill>
      <patternFill patternType="solid">
        <fgColor rgb="FFD5E9F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xSplit="1" topLeftCell="B6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12.71" hidden="0" customWidth="1"/>
    <col min="7" max="7" width="12.71" hidden="0" customWidth="1"/>
    <col min="8" max="8" width="10.71" hidden="0" customWidth="1"/>
    <col min="9" max="9" width="16.71" hidden="0" customWidth="1"/>
    <col min="10" max="10" width="18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2.71" hidden="0" customWidth="1"/>
    <col min="19" max="19" width="7.71" hidden="0" customWidth="1"/>
    <col min="20" max="20" width="7.71" hidden="0" customWidth="1"/>
    <col min="21" max="21" width="8.71" hidden="0" customWidth="1"/>
    <col min="22" max="22" width="9.71" hidden="0" customWidth="1"/>
    <col min="23" max="23" width="10.71" hidden="0" customWidth="1"/>
    <col min="24" max="24" width="8.71" hidden="0" customWidth="1"/>
    <col min="25" max="25" width="12.71" hidden="0" customWidth="1"/>
    <col min="26" max="26" width="15.71" hidden="0" customWidth="1"/>
    <col min="27" max="27" width="12.71" hidden="0" customWidth="1"/>
    <col min="28" max="28" width="8.71" hidden="0" customWidth="1"/>
    <col min="29" max="29" width="8.71" hidden="0" customWidth="1"/>
    <col min="30" max="30" width="8.71" hidden="0" customWidth="1"/>
    <col min="31" max="31" width="8.71" hidden="0" customWidth="1"/>
    <col min="32" max="32" width="8.71" hidden="0" customWidth="1"/>
    <col min="33" max="33" width="8.71" hidden="0" customWidth="1"/>
    <col min="34" max="34" width="8.71" hidden="0" customWidth="1"/>
  </cols>
  <sheetData>
    <row r="1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16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S4" s="4" t="s">
        <v>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32" customHeight="1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S5" s="6" t="s">
        <v>6</v>
      </c>
      <c r="T5" s="6" t="s">
        <v>7</v>
      </c>
      <c r="U5" s="6" t="s">
        <v>8</v>
      </c>
      <c r="V5" s="6" t="s">
        <v>22</v>
      </c>
      <c r="W5" s="6" t="s">
        <v>23</v>
      </c>
      <c r="X5" s="6" t="s">
        <v>24</v>
      </c>
      <c r="Y5" s="6" t="s">
        <v>25</v>
      </c>
      <c r="Z5" s="6" t="s">
        <v>26</v>
      </c>
      <c r="AA5" s="6" t="s">
        <v>27</v>
      </c>
      <c r="AB5" s="6" t="s">
        <v>15</v>
      </c>
      <c r="AC5" s="6" t="s">
        <v>16</v>
      </c>
      <c r="AD5" s="6" t="s">
        <v>17</v>
      </c>
      <c r="AE5" s="6" t="s">
        <v>18</v>
      </c>
      <c r="AF5" s="6" t="s">
        <v>19</v>
      </c>
      <c r="AG5" s="6" t="s">
        <v>20</v>
      </c>
      <c r="AH5" s="6" t="s">
        <v>21</v>
      </c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S6" s="8" t="str">
        <f>=IF(B6="","",B6)</f>
      </c>
      <c r="T6" s="8" t="str">
        <f>=IF(C6="","",C6)</f>
      </c>
      <c r="U6" s="8" t="str">
        <f>=IF(D6="","",D6)</f>
      </c>
      <c r="V6" s="8" t="str">
        <f>=IF(E6="","",E6)</f>
      </c>
      <c r="W6" s="8" t="str">
        <f>=IF(F6="","",IF(F6="Continuada",1,0))</f>
      </c>
      <c r="X6" s="8" t="str">
        <f>=IF(G6="","",IF(G6="1r",1,0))</f>
      </c>
      <c r="Y6" s="8" t="str">
        <f>=IF(H6="","",IF(H6="Home",1,0))</f>
      </c>
      <c r="Z6" s="8" t="str">
        <f>=IF(I6="","",IF(OR(I6="Estadística",I6="Doble Eco+Est",I6="Doble ADE+Soc",I6="Doble ADE+Mat",I6="Doble ADE+Dret",I6="Doble ADE+Qui"),1,0))</f>
      </c>
      <c r="AA6" s="8" t="str">
        <f>=IF(J6="","",IF(OR(J6="T.Parcial",J6="T.Complet"),1,0))</f>
      </c>
      <c r="AB6" s="8" t="str">
        <f>=IF(K6="","",K6)</f>
      </c>
      <c r="AC6" s="8" t="str">
        <f>=IF(L6="","",L6)</f>
      </c>
      <c r="AD6" s="8" t="str">
        <f>=IF(M6="","",M6)</f>
      </c>
      <c r="AE6" s="8" t="str">
        <f>=IF(N6="","",N6)</f>
      </c>
      <c r="AF6" s="8" t="str">
        <f>=IF(O6="","",O6)</f>
      </c>
      <c r="AG6" s="8" t="str">
        <f>=IF(P6="","",P6)</f>
      </c>
      <c r="AH6" s="8" t="str">
        <f>=IF(Q6="","",Q6)</f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S7" s="8" t="str">
        <f>=IF(B7="","",B7)</f>
      </c>
      <c r="T7" s="8" t="str">
        <f>=IF(C7="","",C7)</f>
      </c>
      <c r="U7" s="8" t="str">
        <f>=IF(D7="","",D7)</f>
      </c>
      <c r="V7" s="8" t="str">
        <f>=IF(E7="","",E7)</f>
      </c>
      <c r="W7" s="8" t="str">
        <f>=IF(F7="","",IF(F7="Continuada",1,0))</f>
      </c>
      <c r="X7" s="8" t="str">
        <f>=IF(G7="","",IF(G7="1r",1,0))</f>
      </c>
      <c r="Y7" s="8" t="str">
        <f>=IF(H7="","",IF(H7="Home",1,0))</f>
      </c>
      <c r="Z7" s="8" t="str">
        <f>=IF(I7="","",IF(OR(I7="Estadística",I7="Doble Eco+Est",I7="Doble ADE+Soc",I7="Doble ADE+Mat",I7="Doble ADE+Dret",I7="Doble ADE+Qui"),1,0))</f>
      </c>
      <c r="AA7" s="8" t="str">
        <f>=IF(J7="","",IF(OR(J7="T.Parcial",J7="T.Complet"),1,0))</f>
      </c>
      <c r="AB7" s="8" t="str">
        <f>=IF(K7="","",K7)</f>
      </c>
      <c r="AC7" s="8" t="str">
        <f>=IF(L7="","",L7)</f>
      </c>
      <c r="AD7" s="8" t="str">
        <f>=IF(M7="","",M7)</f>
      </c>
      <c r="AE7" s="8" t="str">
        <f>=IF(N7="","",N7)</f>
      </c>
      <c r="AF7" s="8" t="str">
        <f>=IF(O7="","",O7)</f>
      </c>
      <c r="AG7" s="8" t="str">
        <f>=IF(P7="","",P7)</f>
      </c>
      <c r="AH7" s="8" t="str">
        <f>=IF(Q7="","",Q7)</f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S8" s="8" t="str">
        <f>=IF(B8="","",B8)</f>
      </c>
      <c r="T8" s="8" t="str">
        <f>=IF(C8="","",C8)</f>
      </c>
      <c r="U8" s="8" t="str">
        <f>=IF(D8="","",D8)</f>
      </c>
      <c r="V8" s="8" t="str">
        <f>=IF(E8="","",E8)</f>
      </c>
      <c r="W8" s="8" t="str">
        <f>=IF(F8="","",IF(F8="Continuada",1,0))</f>
      </c>
      <c r="X8" s="8" t="str">
        <f>=IF(G8="","",IF(G8="1r",1,0))</f>
      </c>
      <c r="Y8" s="8" t="str">
        <f>=IF(H8="","",IF(H8="Home",1,0))</f>
      </c>
      <c r="Z8" s="8" t="str">
        <f>=IF(I8="","",IF(OR(I8="Estadística",I8="Doble Eco+Est",I8="Doble ADE+Soc",I8="Doble ADE+Mat",I8="Doble ADE+Dret",I8="Doble ADE+Qui"),1,0))</f>
      </c>
      <c r="AA8" s="8" t="str">
        <f>=IF(J8="","",IF(OR(J8="T.Parcial",J8="T.Complet"),1,0))</f>
      </c>
      <c r="AB8" s="8" t="str">
        <f>=IF(K8="","",K8)</f>
      </c>
      <c r="AC8" s="8" t="str">
        <f>=IF(L8="","",L8)</f>
      </c>
      <c r="AD8" s="8" t="str">
        <f>=IF(M8="","",M8)</f>
      </c>
      <c r="AE8" s="8" t="str">
        <f>=IF(N8="","",N8)</f>
      </c>
      <c r="AF8" s="8" t="str">
        <f>=IF(O8="","",O8)</f>
      </c>
      <c r="AG8" s="8" t="str">
        <f>=IF(P8="","",P8)</f>
      </c>
      <c r="AH8" s="8" t="str">
        <f>=IF(Q8="","",Q8)</f>
      </c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S9" s="8" t="str">
        <f>=IF(B9="","",B9)</f>
      </c>
      <c r="T9" s="8" t="str">
        <f>=IF(C9="","",C9)</f>
      </c>
      <c r="U9" s="8" t="str">
        <f>=IF(D9="","",D9)</f>
      </c>
      <c r="V9" s="8" t="str">
        <f>=IF(E9="","",E9)</f>
      </c>
      <c r="W9" s="8" t="str">
        <f>=IF(F9="","",IF(F9="Continuada",1,0))</f>
      </c>
      <c r="X9" s="8" t="str">
        <f>=IF(G9="","",IF(G9="1r",1,0))</f>
      </c>
      <c r="Y9" s="8" t="str">
        <f>=IF(H9="","",IF(H9="Home",1,0))</f>
      </c>
      <c r="Z9" s="8" t="str">
        <f>=IF(I9="","",IF(OR(I9="Estadística",I9="Doble Eco+Est",I9="Doble ADE+Soc",I9="Doble ADE+Mat",I9="Doble ADE+Dret",I9="Doble ADE+Qui"),1,0))</f>
      </c>
      <c r="AA9" s="8" t="str">
        <f>=IF(J9="","",IF(OR(J9="T.Parcial",J9="T.Complet"),1,0))</f>
      </c>
      <c r="AB9" s="8" t="str">
        <f>=IF(K9="","",K9)</f>
      </c>
      <c r="AC9" s="8" t="str">
        <f>=IF(L9="","",L9)</f>
      </c>
      <c r="AD9" s="8" t="str">
        <f>=IF(M9="","",M9)</f>
      </c>
      <c r="AE9" s="8" t="str">
        <f>=IF(N9="","",N9)</f>
      </c>
      <c r="AF9" s="8" t="str">
        <f>=IF(O9="","",O9)</f>
      </c>
      <c r="AG9" s="8" t="str">
        <f>=IF(P9="","",P9)</f>
      </c>
      <c r="AH9" s="8" t="str">
        <f>=IF(Q9="","",Q9)</f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S10" s="8" t="str">
        <f>=IF(B10="","",B10)</f>
      </c>
      <c r="T10" s="8" t="str">
        <f>=IF(C10="","",C10)</f>
      </c>
      <c r="U10" s="8" t="str">
        <f>=IF(D10="","",D10)</f>
      </c>
      <c r="V10" s="8" t="str">
        <f>=IF(E10="","",E10)</f>
      </c>
      <c r="W10" s="8" t="str">
        <f>=IF(F10="","",IF(F10="Continuada",1,0))</f>
      </c>
      <c r="X10" s="8" t="str">
        <f>=IF(G10="","",IF(G10="1r",1,0))</f>
      </c>
      <c r="Y10" s="8" t="str">
        <f>=IF(H10="","",IF(H10="Home",1,0))</f>
      </c>
      <c r="Z10" s="8" t="str">
        <f>=IF(I10="","",IF(OR(I10="Estadística",I10="Doble Eco+Est",I10="Doble ADE+Soc",I10="Doble ADE+Mat",I10="Doble ADE+Dret",I10="Doble ADE+Qui"),1,0))</f>
      </c>
      <c r="AA10" s="8" t="str">
        <f>=IF(J10="","",IF(OR(J10="T.Parcial",J10="T.Complet"),1,0))</f>
      </c>
      <c r="AB10" s="8" t="str">
        <f>=IF(K10="","",K10)</f>
      </c>
      <c r="AC10" s="8" t="str">
        <f>=IF(L10="","",L10)</f>
      </c>
      <c r="AD10" s="8" t="str">
        <f>=IF(M10="","",M10)</f>
      </c>
      <c r="AE10" s="8" t="str">
        <f>=IF(N10="","",N10)</f>
      </c>
      <c r="AF10" s="8" t="str">
        <f>=IF(O10="","",O10)</f>
      </c>
      <c r="AG10" s="8" t="str">
        <f>=IF(P10="","",P10)</f>
      </c>
      <c r="AH10" s="8" t="str">
        <f>=IF(Q10="","",Q10)</f>
      </c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S11" s="8" t="str">
        <f>=IF(B11="","",B11)</f>
      </c>
      <c r="T11" s="8" t="str">
        <f>=IF(C11="","",C11)</f>
      </c>
      <c r="U11" s="8" t="str">
        <f>=IF(D11="","",D11)</f>
      </c>
      <c r="V11" s="8" t="str">
        <f>=IF(E11="","",E11)</f>
      </c>
      <c r="W11" s="8" t="str">
        <f>=IF(F11="","",IF(F11="Continuada",1,0))</f>
      </c>
      <c r="X11" s="8" t="str">
        <f>=IF(G11="","",IF(G11="1r",1,0))</f>
      </c>
      <c r="Y11" s="8" t="str">
        <f>=IF(H11="","",IF(H11="Home",1,0))</f>
      </c>
      <c r="Z11" s="8" t="str">
        <f>=IF(I11="","",IF(OR(I11="Estadística",I11="Doble Eco+Est",I11="Doble ADE+Soc",I11="Doble ADE+Mat",I11="Doble ADE+Dret",I11="Doble ADE+Qui"),1,0))</f>
      </c>
      <c r="AA11" s="8" t="str">
        <f>=IF(J11="","",IF(OR(J11="T.Parcial",J11="T.Complet"),1,0))</f>
      </c>
      <c r="AB11" s="8" t="str">
        <f>=IF(K11="","",K11)</f>
      </c>
      <c r="AC11" s="8" t="str">
        <f>=IF(L11="","",L11)</f>
      </c>
      <c r="AD11" s="8" t="str">
        <f>=IF(M11="","",M11)</f>
      </c>
      <c r="AE11" s="8" t="str">
        <f>=IF(N11="","",N11)</f>
      </c>
      <c r="AF11" s="8" t="str">
        <f>=IF(O11="","",O11)</f>
      </c>
      <c r="AG11" s="8" t="str">
        <f>=IF(P11="","",P11)</f>
      </c>
      <c r="AH11" s="8" t="str">
        <f>=IF(Q11="","",Q11)</f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S12" s="8" t="str">
        <f>=IF(B12="","",B12)</f>
      </c>
      <c r="T12" s="8" t="str">
        <f>=IF(C12="","",C12)</f>
      </c>
      <c r="U12" s="8" t="str">
        <f>=IF(D12="","",D12)</f>
      </c>
      <c r="V12" s="8" t="str">
        <f>=IF(E12="","",E12)</f>
      </c>
      <c r="W12" s="8" t="str">
        <f>=IF(F12="","",IF(F12="Continuada",1,0))</f>
      </c>
      <c r="X12" s="8" t="str">
        <f>=IF(G12="","",IF(G12="1r",1,0))</f>
      </c>
      <c r="Y12" s="8" t="str">
        <f>=IF(H12="","",IF(H12="Home",1,0))</f>
      </c>
      <c r="Z12" s="8" t="str">
        <f>=IF(I12="","",IF(OR(I12="Estadística",I12="Doble Eco+Est",I12="Doble ADE+Soc",I12="Doble ADE+Mat",I12="Doble ADE+Dret",I12="Doble ADE+Qui"),1,0))</f>
      </c>
      <c r="AA12" s="8" t="str">
        <f>=IF(J12="","",IF(OR(J12="T.Parcial",J12="T.Complet"),1,0))</f>
      </c>
      <c r="AB12" s="8" t="str">
        <f>=IF(K12="","",K12)</f>
      </c>
      <c r="AC12" s="8" t="str">
        <f>=IF(L12="","",L12)</f>
      </c>
      <c r="AD12" s="8" t="str">
        <f>=IF(M12="","",M12)</f>
      </c>
      <c r="AE12" s="8" t="str">
        <f>=IF(N12="","",N12)</f>
      </c>
      <c r="AF12" s="8" t="str">
        <f>=IF(O12="","",O12)</f>
      </c>
      <c r="AG12" s="8" t="str">
        <f>=IF(P12="","",P12)</f>
      </c>
      <c r="AH12" s="8" t="str">
        <f>=IF(Q12="","",Q12)</f>
      </c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S13" s="8" t="str">
        <f>=IF(B13="","",B13)</f>
      </c>
      <c r="T13" s="8" t="str">
        <f>=IF(C13="","",C13)</f>
      </c>
      <c r="U13" s="8" t="str">
        <f>=IF(D13="","",D13)</f>
      </c>
      <c r="V13" s="8" t="str">
        <f>=IF(E13="","",E13)</f>
      </c>
      <c r="W13" s="8" t="str">
        <f>=IF(F13="","",IF(F13="Continuada",1,0))</f>
      </c>
      <c r="X13" s="8" t="str">
        <f>=IF(G13="","",IF(G13="1r",1,0))</f>
      </c>
      <c r="Y13" s="8" t="str">
        <f>=IF(H13="","",IF(H13="Home",1,0))</f>
      </c>
      <c r="Z13" s="8" t="str">
        <f>=IF(I13="","",IF(OR(I13="Estadística",I13="Doble Eco+Est",I13="Doble ADE+Soc",I13="Doble ADE+Mat",I13="Doble ADE+Dret",I13="Doble ADE+Qui"),1,0))</f>
      </c>
      <c r="AA13" s="8" t="str">
        <f>=IF(J13="","",IF(OR(J13="T.Parcial",J13="T.Complet"),1,0))</f>
      </c>
      <c r="AB13" s="8" t="str">
        <f>=IF(K13="","",K13)</f>
      </c>
      <c r="AC13" s="8" t="str">
        <f>=IF(L13="","",L13)</f>
      </c>
      <c r="AD13" s="8" t="str">
        <f>=IF(M13="","",M13)</f>
      </c>
      <c r="AE13" s="8" t="str">
        <f>=IF(N13="","",N13)</f>
      </c>
      <c r="AF13" s="8" t="str">
        <f>=IF(O13="","",O13)</f>
      </c>
      <c r="AG13" s="8" t="str">
        <f>=IF(P13="","",P13)</f>
      </c>
      <c r="AH13" s="8" t="str">
        <f>=IF(Q13="","",Q13)</f>
      </c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S14" s="8" t="str">
        <f>=IF(B14="","",B14)</f>
      </c>
      <c r="T14" s="8" t="str">
        <f>=IF(C14="","",C14)</f>
      </c>
      <c r="U14" s="8" t="str">
        <f>=IF(D14="","",D14)</f>
      </c>
      <c r="V14" s="8" t="str">
        <f>=IF(E14="","",E14)</f>
      </c>
      <c r="W14" s="8" t="str">
        <f>=IF(F14="","",IF(F14="Continuada",1,0))</f>
      </c>
      <c r="X14" s="8" t="str">
        <f>=IF(G14="","",IF(G14="1r",1,0))</f>
      </c>
      <c r="Y14" s="8" t="str">
        <f>=IF(H14="","",IF(H14="Home",1,0))</f>
      </c>
      <c r="Z14" s="8" t="str">
        <f>=IF(I14="","",IF(OR(I14="Estadística",I14="Doble Eco+Est",I14="Doble ADE+Soc",I14="Doble ADE+Mat",I14="Doble ADE+Dret",I14="Doble ADE+Qui"),1,0))</f>
      </c>
      <c r="AA14" s="8" t="str">
        <f>=IF(J14="","",IF(OR(J14="T.Parcial",J14="T.Complet"),1,0))</f>
      </c>
      <c r="AB14" s="8" t="str">
        <f>=IF(K14="","",K14)</f>
      </c>
      <c r="AC14" s="8" t="str">
        <f>=IF(L14="","",L14)</f>
      </c>
      <c r="AD14" s="8" t="str">
        <f>=IF(M14="","",M14)</f>
      </c>
      <c r="AE14" s="8" t="str">
        <f>=IF(N14="","",N14)</f>
      </c>
      <c r="AF14" s="8" t="str">
        <f>=IF(O14="","",O14)</f>
      </c>
      <c r="AG14" s="8" t="str">
        <f>=IF(P14="","",P14)</f>
      </c>
      <c r="AH14" s="8" t="str">
        <f>=IF(Q14="","",Q14)</f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S15" s="8" t="str">
        <f>=IF(B15="","",B15)</f>
      </c>
      <c r="T15" s="8" t="str">
        <f>=IF(C15="","",C15)</f>
      </c>
      <c r="U15" s="8" t="str">
        <f>=IF(D15="","",D15)</f>
      </c>
      <c r="V15" s="8" t="str">
        <f>=IF(E15="","",E15)</f>
      </c>
      <c r="W15" s="8" t="str">
        <f>=IF(F15="","",IF(F15="Continuada",1,0))</f>
      </c>
      <c r="X15" s="8" t="str">
        <f>=IF(G15="","",IF(G15="1r",1,0))</f>
      </c>
      <c r="Y15" s="8" t="str">
        <f>=IF(H15="","",IF(H15="Home",1,0))</f>
      </c>
      <c r="Z15" s="8" t="str">
        <f>=IF(I15="","",IF(OR(I15="Estadística",I15="Doble Eco+Est",I15="Doble ADE+Soc",I15="Doble ADE+Mat",I15="Doble ADE+Dret",I15="Doble ADE+Qui"),1,0))</f>
      </c>
      <c r="AA15" s="8" t="str">
        <f>=IF(J15="","",IF(OR(J15="T.Parcial",J15="T.Complet"),1,0))</f>
      </c>
      <c r="AB15" s="8" t="str">
        <f>=IF(K15="","",K15)</f>
      </c>
      <c r="AC15" s="8" t="str">
        <f>=IF(L15="","",L15)</f>
      </c>
      <c r="AD15" s="8" t="str">
        <f>=IF(M15="","",M15)</f>
      </c>
      <c r="AE15" s="8" t="str">
        <f>=IF(N15="","",N15)</f>
      </c>
      <c r="AF15" s="8" t="str">
        <f>=IF(O15="","",O15)</f>
      </c>
      <c r="AG15" s="8" t="str">
        <f>=IF(P15="","",P15)</f>
      </c>
      <c r="AH15" s="8" t="str">
        <f>=IF(Q15="","",Q15)</f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S16" s="8" t="str">
        <f>=IF(B16="","",B16)</f>
      </c>
      <c r="T16" s="8" t="str">
        <f>=IF(C16="","",C16)</f>
      </c>
      <c r="U16" s="8" t="str">
        <f>=IF(D16="","",D16)</f>
      </c>
      <c r="V16" s="8" t="str">
        <f>=IF(E16="","",E16)</f>
      </c>
      <c r="W16" s="8" t="str">
        <f>=IF(F16="","",IF(F16="Continuada",1,0))</f>
      </c>
      <c r="X16" s="8" t="str">
        <f>=IF(G16="","",IF(G16="1r",1,0))</f>
      </c>
      <c r="Y16" s="8" t="str">
        <f>=IF(H16="","",IF(H16="Home",1,0))</f>
      </c>
      <c r="Z16" s="8" t="str">
        <f>=IF(I16="","",IF(OR(I16="Estadística",I16="Doble Eco+Est",I16="Doble ADE+Soc",I16="Doble ADE+Mat",I16="Doble ADE+Dret",I16="Doble ADE+Qui"),1,0))</f>
      </c>
      <c r="AA16" s="8" t="str">
        <f>=IF(J16="","",IF(OR(J16="T.Parcial",J16="T.Complet"),1,0))</f>
      </c>
      <c r="AB16" s="8" t="str">
        <f>=IF(K16="","",K16)</f>
      </c>
      <c r="AC16" s="8" t="str">
        <f>=IF(L16="","",L16)</f>
      </c>
      <c r="AD16" s="8" t="str">
        <f>=IF(M16="","",M16)</f>
      </c>
      <c r="AE16" s="8" t="str">
        <f>=IF(N16="","",N16)</f>
      </c>
      <c r="AF16" s="8" t="str">
        <f>=IF(O16="","",O16)</f>
      </c>
      <c r="AG16" s="8" t="str">
        <f>=IF(P16="","",P16)</f>
      </c>
      <c r="AH16" s="8" t="str">
        <f>=IF(Q16="","",Q16)</f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S17" s="8" t="str">
        <f>=IF(B17="","",B17)</f>
      </c>
      <c r="T17" s="8" t="str">
        <f>=IF(C17="","",C17)</f>
      </c>
      <c r="U17" s="8" t="str">
        <f>=IF(D17="","",D17)</f>
      </c>
      <c r="V17" s="8" t="str">
        <f>=IF(E17="","",E17)</f>
      </c>
      <c r="W17" s="8" t="str">
        <f>=IF(F17="","",IF(F17="Continuada",1,0))</f>
      </c>
      <c r="X17" s="8" t="str">
        <f>=IF(G17="","",IF(G17="1r",1,0))</f>
      </c>
      <c r="Y17" s="8" t="str">
        <f>=IF(H17="","",IF(H17="Home",1,0))</f>
      </c>
      <c r="Z17" s="8" t="str">
        <f>=IF(I17="","",IF(OR(I17="Estadística",I17="Doble Eco+Est",I17="Doble ADE+Soc",I17="Doble ADE+Mat",I17="Doble ADE+Dret",I17="Doble ADE+Qui"),1,0))</f>
      </c>
      <c r="AA17" s="8" t="str">
        <f>=IF(J17="","",IF(OR(J17="T.Parcial",J17="T.Complet"),1,0))</f>
      </c>
      <c r="AB17" s="8" t="str">
        <f>=IF(K17="","",K17)</f>
      </c>
      <c r="AC17" s="8" t="str">
        <f>=IF(L17="","",L17)</f>
      </c>
      <c r="AD17" s="8" t="str">
        <f>=IF(M17="","",M17)</f>
      </c>
      <c r="AE17" s="8" t="str">
        <f>=IF(N17="","",N17)</f>
      </c>
      <c r="AF17" s="8" t="str">
        <f>=IF(O17="","",O17)</f>
      </c>
      <c r="AG17" s="8" t="str">
        <f>=IF(P17="","",P17)</f>
      </c>
      <c r="AH17" s="8" t="str">
        <f>=IF(Q17="","",Q17)</f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S18" s="8" t="str">
        <f>=IF(B18="","",B18)</f>
      </c>
      <c r="T18" s="8" t="str">
        <f>=IF(C18="","",C18)</f>
      </c>
      <c r="U18" s="8" t="str">
        <f>=IF(D18="","",D18)</f>
      </c>
      <c r="V18" s="8" t="str">
        <f>=IF(E18="","",E18)</f>
      </c>
      <c r="W18" s="8" t="str">
        <f>=IF(F18="","",IF(F18="Continuada",1,0))</f>
      </c>
      <c r="X18" s="8" t="str">
        <f>=IF(G18="","",IF(G18="1r",1,0))</f>
      </c>
      <c r="Y18" s="8" t="str">
        <f>=IF(H18="","",IF(H18="Home",1,0))</f>
      </c>
      <c r="Z18" s="8" t="str">
        <f>=IF(I18="","",IF(OR(I18="Estadística",I18="Doble Eco+Est",I18="Doble ADE+Soc",I18="Doble ADE+Mat",I18="Doble ADE+Dret",I18="Doble ADE+Qui"),1,0))</f>
      </c>
      <c r="AA18" s="8" t="str">
        <f>=IF(J18="","",IF(OR(J18="T.Parcial",J18="T.Complet"),1,0))</f>
      </c>
      <c r="AB18" s="8" t="str">
        <f>=IF(K18="","",K18)</f>
      </c>
      <c r="AC18" s="8" t="str">
        <f>=IF(L18="","",L18)</f>
      </c>
      <c r="AD18" s="8" t="str">
        <f>=IF(M18="","",M18)</f>
      </c>
      <c r="AE18" s="8" t="str">
        <f>=IF(N18="","",N18)</f>
      </c>
      <c r="AF18" s="8" t="str">
        <f>=IF(O18="","",O18)</f>
      </c>
      <c r="AG18" s="8" t="str">
        <f>=IF(P18="","",P18)</f>
      </c>
      <c r="AH18" s="8" t="str">
        <f>=IF(Q18="","",Q18)</f>
      </c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S19" s="8" t="str">
        <f>=IF(B19="","",B19)</f>
      </c>
      <c r="T19" s="8" t="str">
        <f>=IF(C19="","",C19)</f>
      </c>
      <c r="U19" s="8" t="str">
        <f>=IF(D19="","",D19)</f>
      </c>
      <c r="V19" s="8" t="str">
        <f>=IF(E19="","",E19)</f>
      </c>
      <c r="W19" s="8" t="str">
        <f>=IF(F19="","",IF(F19="Continuada",1,0))</f>
      </c>
      <c r="X19" s="8" t="str">
        <f>=IF(G19="","",IF(G19="1r",1,0))</f>
      </c>
      <c r="Y19" s="8" t="str">
        <f>=IF(H19="","",IF(H19="Home",1,0))</f>
      </c>
      <c r="Z19" s="8" t="str">
        <f>=IF(I19="","",IF(OR(I19="Estadística",I19="Doble Eco+Est",I19="Doble ADE+Soc",I19="Doble ADE+Mat",I19="Doble ADE+Dret",I19="Doble ADE+Qui"),1,0))</f>
      </c>
      <c r="AA19" s="8" t="str">
        <f>=IF(J19="","",IF(OR(J19="T.Parcial",J19="T.Complet"),1,0))</f>
      </c>
      <c r="AB19" s="8" t="str">
        <f>=IF(K19="","",K19)</f>
      </c>
      <c r="AC19" s="8" t="str">
        <f>=IF(L19="","",L19)</f>
      </c>
      <c r="AD19" s="8" t="str">
        <f>=IF(M19="","",M19)</f>
      </c>
      <c r="AE19" s="8" t="str">
        <f>=IF(N19="","",N19)</f>
      </c>
      <c r="AF19" s="8" t="str">
        <f>=IF(O19="","",O19)</f>
      </c>
      <c r="AG19" s="8" t="str">
        <f>=IF(P19="","",P19)</f>
      </c>
      <c r="AH19" s="8" t="str">
        <f>=IF(Q19="","",Q19)</f>
      </c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S20" s="8" t="str">
        <f>=IF(B20="","",B20)</f>
      </c>
      <c r="T20" s="8" t="str">
        <f>=IF(C20="","",C20)</f>
      </c>
      <c r="U20" s="8" t="str">
        <f>=IF(D20="","",D20)</f>
      </c>
      <c r="V20" s="8" t="str">
        <f>=IF(E20="","",E20)</f>
      </c>
      <c r="W20" s="8" t="str">
        <f>=IF(F20="","",IF(F20="Continuada",1,0))</f>
      </c>
      <c r="X20" s="8" t="str">
        <f>=IF(G20="","",IF(G20="1r",1,0))</f>
      </c>
      <c r="Y20" s="8" t="str">
        <f>=IF(H20="","",IF(H20="Home",1,0))</f>
      </c>
      <c r="Z20" s="8" t="str">
        <f>=IF(I20="","",IF(OR(I20="Estadística",I20="Doble Eco+Est",I20="Doble ADE+Soc",I20="Doble ADE+Mat",I20="Doble ADE+Dret",I20="Doble ADE+Qui"),1,0))</f>
      </c>
      <c r="AA20" s="8" t="str">
        <f>=IF(J20="","",IF(OR(J20="T.Parcial",J20="T.Complet"),1,0))</f>
      </c>
      <c r="AB20" s="8" t="str">
        <f>=IF(K20="","",K20)</f>
      </c>
      <c r="AC20" s="8" t="str">
        <f>=IF(L20="","",L20)</f>
      </c>
      <c r="AD20" s="8" t="str">
        <f>=IF(M20="","",M20)</f>
      </c>
      <c r="AE20" s="8" t="str">
        <f>=IF(N20="","",N20)</f>
      </c>
      <c r="AF20" s="8" t="str">
        <f>=IF(O20="","",O20)</f>
      </c>
      <c r="AG20" s="8" t="str">
        <f>=IF(P20="","",P20)</f>
      </c>
      <c r="AH20" s="8" t="str">
        <f>=IF(Q20="","",Q20)</f>
      </c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S21" s="8" t="str">
        <f>=IF(B21="","",B21)</f>
      </c>
      <c r="T21" s="8" t="str">
        <f>=IF(C21="","",C21)</f>
      </c>
      <c r="U21" s="8" t="str">
        <f>=IF(D21="","",D21)</f>
      </c>
      <c r="V21" s="8" t="str">
        <f>=IF(E21="","",E21)</f>
      </c>
      <c r="W21" s="8" t="str">
        <f>=IF(F21="","",IF(F21="Continuada",1,0))</f>
      </c>
      <c r="X21" s="8" t="str">
        <f>=IF(G21="","",IF(G21="1r",1,0))</f>
      </c>
      <c r="Y21" s="8" t="str">
        <f>=IF(H21="","",IF(H21="Home",1,0))</f>
      </c>
      <c r="Z21" s="8" t="str">
        <f>=IF(I21="","",IF(OR(I21="Estadística",I21="Doble Eco+Est",I21="Doble ADE+Soc",I21="Doble ADE+Mat",I21="Doble ADE+Dret",I21="Doble ADE+Qui"),1,0))</f>
      </c>
      <c r="AA21" s="8" t="str">
        <f>=IF(J21="","",IF(OR(J21="T.Parcial",J21="T.Complet"),1,0))</f>
      </c>
      <c r="AB21" s="8" t="str">
        <f>=IF(K21="","",K21)</f>
      </c>
      <c r="AC21" s="8" t="str">
        <f>=IF(L21="","",L21)</f>
      </c>
      <c r="AD21" s="8" t="str">
        <f>=IF(M21="","",M21)</f>
      </c>
      <c r="AE21" s="8" t="str">
        <f>=IF(N21="","",N21)</f>
      </c>
      <c r="AF21" s="8" t="str">
        <f>=IF(O21="","",O21)</f>
      </c>
      <c r="AG21" s="8" t="str">
        <f>=IF(P21="","",P21)</f>
      </c>
      <c r="AH21" s="8" t="str">
        <f>=IF(Q21="","",Q21)</f>
      </c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S22" s="8" t="str">
        <f>=IF(B22="","",B22)</f>
      </c>
      <c r="T22" s="8" t="str">
        <f>=IF(C22="","",C22)</f>
      </c>
      <c r="U22" s="8" t="str">
        <f>=IF(D22="","",D22)</f>
      </c>
      <c r="V22" s="8" t="str">
        <f>=IF(E22="","",E22)</f>
      </c>
      <c r="W22" s="8" t="str">
        <f>=IF(F22="","",IF(F22="Continuada",1,0))</f>
      </c>
      <c r="X22" s="8" t="str">
        <f>=IF(G22="","",IF(G22="1r",1,0))</f>
      </c>
      <c r="Y22" s="8" t="str">
        <f>=IF(H22="","",IF(H22="Home",1,0))</f>
      </c>
      <c r="Z22" s="8" t="str">
        <f>=IF(I22="","",IF(OR(I22="Estadística",I22="Doble Eco+Est",I22="Doble ADE+Soc",I22="Doble ADE+Mat",I22="Doble ADE+Dret",I22="Doble ADE+Qui"),1,0))</f>
      </c>
      <c r="AA22" s="8" t="str">
        <f>=IF(J22="","",IF(OR(J22="T.Parcial",J22="T.Complet"),1,0))</f>
      </c>
      <c r="AB22" s="8" t="str">
        <f>=IF(K22="","",K22)</f>
      </c>
      <c r="AC22" s="8" t="str">
        <f>=IF(L22="","",L22)</f>
      </c>
      <c r="AD22" s="8" t="str">
        <f>=IF(M22="","",M22)</f>
      </c>
      <c r="AE22" s="8" t="str">
        <f>=IF(N22="","",N22)</f>
      </c>
      <c r="AF22" s="8" t="str">
        <f>=IF(O22="","",O22)</f>
      </c>
      <c r="AG22" s="8" t="str">
        <f>=IF(P22="","",P22)</f>
      </c>
      <c r="AH22" s="8" t="str">
        <f>=IF(Q22="","",Q22)</f>
      </c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S23" s="8" t="str">
        <f>=IF(B23="","",B23)</f>
      </c>
      <c r="T23" s="8" t="str">
        <f>=IF(C23="","",C23)</f>
      </c>
      <c r="U23" s="8" t="str">
        <f>=IF(D23="","",D23)</f>
      </c>
      <c r="V23" s="8" t="str">
        <f>=IF(E23="","",E23)</f>
      </c>
      <c r="W23" s="8" t="str">
        <f>=IF(F23="","",IF(F23="Continuada",1,0))</f>
      </c>
      <c r="X23" s="8" t="str">
        <f>=IF(G23="","",IF(G23="1r",1,0))</f>
      </c>
      <c r="Y23" s="8" t="str">
        <f>=IF(H23="","",IF(H23="Home",1,0))</f>
      </c>
      <c r="Z23" s="8" t="str">
        <f>=IF(I23="","",IF(OR(I23="Estadística",I23="Doble Eco+Est",I23="Doble ADE+Soc",I23="Doble ADE+Mat",I23="Doble ADE+Dret",I23="Doble ADE+Qui"),1,0))</f>
      </c>
      <c r="AA23" s="8" t="str">
        <f>=IF(J23="","",IF(OR(J23="T.Parcial",J23="T.Complet"),1,0))</f>
      </c>
      <c r="AB23" s="8" t="str">
        <f>=IF(K23="","",K23)</f>
      </c>
      <c r="AC23" s="8" t="str">
        <f>=IF(L23="","",L23)</f>
      </c>
      <c r="AD23" s="8" t="str">
        <f>=IF(M23="","",M23)</f>
      </c>
      <c r="AE23" s="8" t="str">
        <f>=IF(N23="","",N23)</f>
      </c>
      <c r="AF23" s="8" t="str">
        <f>=IF(O23="","",O23)</f>
      </c>
      <c r="AG23" s="8" t="str">
        <f>=IF(P23="","",P23)</f>
      </c>
      <c r="AH23" s="8" t="str">
        <f>=IF(Q23="","",Q23)</f>
      </c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S24" s="8" t="str">
        <f>=IF(B24="","",B24)</f>
      </c>
      <c r="T24" s="8" t="str">
        <f>=IF(C24="","",C24)</f>
      </c>
      <c r="U24" s="8" t="str">
        <f>=IF(D24="","",D24)</f>
      </c>
      <c r="V24" s="8" t="str">
        <f>=IF(E24="","",E24)</f>
      </c>
      <c r="W24" s="8" t="str">
        <f>=IF(F24="","",IF(F24="Continuada",1,0))</f>
      </c>
      <c r="X24" s="8" t="str">
        <f>=IF(G24="","",IF(G24="1r",1,0))</f>
      </c>
      <c r="Y24" s="8" t="str">
        <f>=IF(H24="","",IF(H24="Home",1,0))</f>
      </c>
      <c r="Z24" s="8" t="str">
        <f>=IF(I24="","",IF(OR(I24="Estadística",I24="Doble Eco+Est",I24="Doble ADE+Soc",I24="Doble ADE+Mat",I24="Doble ADE+Dret",I24="Doble ADE+Qui"),1,0))</f>
      </c>
      <c r="AA24" s="8" t="str">
        <f>=IF(J24="","",IF(OR(J24="T.Parcial",J24="T.Complet"),1,0))</f>
      </c>
      <c r="AB24" s="8" t="str">
        <f>=IF(K24="","",K24)</f>
      </c>
      <c r="AC24" s="8" t="str">
        <f>=IF(L24="","",L24)</f>
      </c>
      <c r="AD24" s="8" t="str">
        <f>=IF(M24="","",M24)</f>
      </c>
      <c r="AE24" s="8" t="str">
        <f>=IF(N24="","",N24)</f>
      </c>
      <c r="AF24" s="8" t="str">
        <f>=IF(O24="","",O24)</f>
      </c>
      <c r="AG24" s="8" t="str">
        <f>=IF(P24="","",P24)</f>
      </c>
      <c r="AH24" s="8" t="str">
        <f>=IF(Q24="","",Q24)</f>
      </c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S25" s="8" t="str">
        <f>=IF(B25="","",B25)</f>
      </c>
      <c r="T25" s="8" t="str">
        <f>=IF(C25="","",C25)</f>
      </c>
      <c r="U25" s="8" t="str">
        <f>=IF(D25="","",D25)</f>
      </c>
      <c r="V25" s="8" t="str">
        <f>=IF(E25="","",E25)</f>
      </c>
      <c r="W25" s="8" t="str">
        <f>=IF(F25="","",IF(F25="Continuada",1,0))</f>
      </c>
      <c r="X25" s="8" t="str">
        <f>=IF(G25="","",IF(G25="1r",1,0))</f>
      </c>
      <c r="Y25" s="8" t="str">
        <f>=IF(H25="","",IF(H25="Home",1,0))</f>
      </c>
      <c r="Z25" s="8" t="str">
        <f>=IF(I25="","",IF(OR(I25="Estadística",I25="Doble Eco+Est",I25="Doble ADE+Soc",I25="Doble ADE+Mat",I25="Doble ADE+Dret",I25="Doble ADE+Qui"),1,0))</f>
      </c>
      <c r="AA25" s="8" t="str">
        <f>=IF(J25="","",IF(OR(J25="T.Parcial",J25="T.Complet"),1,0))</f>
      </c>
      <c r="AB25" s="8" t="str">
        <f>=IF(K25="","",K25)</f>
      </c>
      <c r="AC25" s="8" t="str">
        <f>=IF(L25="","",L25)</f>
      </c>
      <c r="AD25" s="8" t="str">
        <f>=IF(M25="","",M25)</f>
      </c>
      <c r="AE25" s="8" t="str">
        <f>=IF(N25="","",N25)</f>
      </c>
      <c r="AF25" s="8" t="str">
        <f>=IF(O25="","",O25)</f>
      </c>
      <c r="AG25" s="8" t="str">
        <f>=IF(P25="","",P25)</f>
      </c>
      <c r="AH25" s="8" t="str">
        <f>=IF(Q25="","",Q25)</f>
      </c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S26" s="8" t="str">
        <f>=IF(B26="","",B26)</f>
      </c>
      <c r="T26" s="8" t="str">
        <f>=IF(C26="","",C26)</f>
      </c>
      <c r="U26" s="8" t="str">
        <f>=IF(D26="","",D26)</f>
      </c>
      <c r="V26" s="8" t="str">
        <f>=IF(E26="","",E26)</f>
      </c>
      <c r="W26" s="8" t="str">
        <f>=IF(F26="","",IF(F26="Continuada",1,0))</f>
      </c>
      <c r="X26" s="8" t="str">
        <f>=IF(G26="","",IF(G26="1r",1,0))</f>
      </c>
      <c r="Y26" s="8" t="str">
        <f>=IF(H26="","",IF(H26="Home",1,0))</f>
      </c>
      <c r="Z26" s="8" t="str">
        <f>=IF(I26="","",IF(OR(I26="Estadística",I26="Doble Eco+Est",I26="Doble ADE+Soc",I26="Doble ADE+Mat",I26="Doble ADE+Dret",I26="Doble ADE+Qui"),1,0))</f>
      </c>
      <c r="AA26" s="8" t="str">
        <f>=IF(J26="","",IF(OR(J26="T.Parcial",J26="T.Complet"),1,0))</f>
      </c>
      <c r="AB26" s="8" t="str">
        <f>=IF(K26="","",K26)</f>
      </c>
      <c r="AC26" s="8" t="str">
        <f>=IF(L26="","",L26)</f>
      </c>
      <c r="AD26" s="8" t="str">
        <f>=IF(M26="","",M26)</f>
      </c>
      <c r="AE26" s="8" t="str">
        <f>=IF(N26="","",N26)</f>
      </c>
      <c r="AF26" s="8" t="str">
        <f>=IF(O26="","",O26)</f>
      </c>
      <c r="AG26" s="8" t="str">
        <f>=IF(P26="","",P26)</f>
      </c>
      <c r="AH26" s="8" t="str">
        <f>=IF(Q26="","",Q26)</f>
      </c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S27" s="8" t="str">
        <f>=IF(B27="","",B27)</f>
      </c>
      <c r="T27" s="8" t="str">
        <f>=IF(C27="","",C27)</f>
      </c>
      <c r="U27" s="8" t="str">
        <f>=IF(D27="","",D27)</f>
      </c>
      <c r="V27" s="8" t="str">
        <f>=IF(E27="","",E27)</f>
      </c>
      <c r="W27" s="8" t="str">
        <f>=IF(F27="","",IF(F27="Continuada",1,0))</f>
      </c>
      <c r="X27" s="8" t="str">
        <f>=IF(G27="","",IF(G27="1r",1,0))</f>
      </c>
      <c r="Y27" s="8" t="str">
        <f>=IF(H27="","",IF(H27="Home",1,0))</f>
      </c>
      <c r="Z27" s="8" t="str">
        <f>=IF(I27="","",IF(OR(I27="Estadística",I27="Doble Eco+Est",I27="Doble ADE+Soc",I27="Doble ADE+Mat",I27="Doble ADE+Dret",I27="Doble ADE+Qui"),1,0))</f>
      </c>
      <c r="AA27" s="8" t="str">
        <f>=IF(J27="","",IF(OR(J27="T.Parcial",J27="T.Complet"),1,0))</f>
      </c>
      <c r="AB27" s="8" t="str">
        <f>=IF(K27="","",K27)</f>
      </c>
      <c r="AC27" s="8" t="str">
        <f>=IF(L27="","",L27)</f>
      </c>
      <c r="AD27" s="8" t="str">
        <f>=IF(M27="","",M27)</f>
      </c>
      <c r="AE27" s="8" t="str">
        <f>=IF(N27="","",N27)</f>
      </c>
      <c r="AF27" s="8" t="str">
        <f>=IF(O27="","",O27)</f>
      </c>
      <c r="AG27" s="8" t="str">
        <f>=IF(P27="","",P27)</f>
      </c>
      <c r="AH27" s="8" t="str">
        <f>=IF(Q27="","",Q27)</f>
      </c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S28" s="8" t="str">
        <f>=IF(B28="","",B28)</f>
      </c>
      <c r="T28" s="8" t="str">
        <f>=IF(C28="","",C28)</f>
      </c>
      <c r="U28" s="8" t="str">
        <f>=IF(D28="","",D28)</f>
      </c>
      <c r="V28" s="8" t="str">
        <f>=IF(E28="","",E28)</f>
      </c>
      <c r="W28" s="8" t="str">
        <f>=IF(F28="","",IF(F28="Continuada",1,0))</f>
      </c>
      <c r="X28" s="8" t="str">
        <f>=IF(G28="","",IF(G28="1r",1,0))</f>
      </c>
      <c r="Y28" s="8" t="str">
        <f>=IF(H28="","",IF(H28="Home",1,0))</f>
      </c>
      <c r="Z28" s="8" t="str">
        <f>=IF(I28="","",IF(OR(I28="Estadística",I28="Doble Eco+Est",I28="Doble ADE+Soc",I28="Doble ADE+Mat",I28="Doble ADE+Dret",I28="Doble ADE+Qui"),1,0))</f>
      </c>
      <c r="AA28" s="8" t="str">
        <f>=IF(J28="","",IF(OR(J28="T.Parcial",J28="T.Complet"),1,0))</f>
      </c>
      <c r="AB28" s="8" t="str">
        <f>=IF(K28="","",K28)</f>
      </c>
      <c r="AC28" s="8" t="str">
        <f>=IF(L28="","",L28)</f>
      </c>
      <c r="AD28" s="8" t="str">
        <f>=IF(M28="","",M28)</f>
      </c>
      <c r="AE28" s="8" t="str">
        <f>=IF(N28="","",N28)</f>
      </c>
      <c r="AF28" s="8" t="str">
        <f>=IF(O28="","",O28)</f>
      </c>
      <c r="AG28" s="8" t="str">
        <f>=IF(P28="","",P28)</f>
      </c>
      <c r="AH28" s="8" t="str">
        <f>=IF(Q28="","",Q28)</f>
      </c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S29" s="8" t="str">
        <f>=IF(B29="","",B29)</f>
      </c>
      <c r="T29" s="8" t="str">
        <f>=IF(C29="","",C29)</f>
      </c>
      <c r="U29" s="8" t="str">
        <f>=IF(D29="","",D29)</f>
      </c>
      <c r="V29" s="8" t="str">
        <f>=IF(E29="","",E29)</f>
      </c>
      <c r="W29" s="8" t="str">
        <f>=IF(F29="","",IF(F29="Continuada",1,0))</f>
      </c>
      <c r="X29" s="8" t="str">
        <f>=IF(G29="","",IF(G29="1r",1,0))</f>
      </c>
      <c r="Y29" s="8" t="str">
        <f>=IF(H29="","",IF(H29="Home",1,0))</f>
      </c>
      <c r="Z29" s="8" t="str">
        <f>=IF(I29="","",IF(OR(I29="Estadística",I29="Doble Eco+Est",I29="Doble ADE+Soc",I29="Doble ADE+Mat",I29="Doble ADE+Dret",I29="Doble ADE+Qui"),1,0))</f>
      </c>
      <c r="AA29" s="8" t="str">
        <f>=IF(J29="","",IF(OR(J29="T.Parcial",J29="T.Complet"),1,0))</f>
      </c>
      <c r="AB29" s="8" t="str">
        <f>=IF(K29="","",K29)</f>
      </c>
      <c r="AC29" s="8" t="str">
        <f>=IF(L29="","",L29)</f>
      </c>
      <c r="AD29" s="8" t="str">
        <f>=IF(M29="","",M29)</f>
      </c>
      <c r="AE29" s="8" t="str">
        <f>=IF(N29="","",N29)</f>
      </c>
      <c r="AF29" s="8" t="str">
        <f>=IF(O29="","",O29)</f>
      </c>
      <c r="AG29" s="8" t="str">
        <f>=IF(P29="","",P29)</f>
      </c>
      <c r="AH29" s="8" t="str">
        <f>=IF(Q29="","",Q29)</f>
      </c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S30" s="8" t="str">
        <f>=IF(B30="","",B30)</f>
      </c>
      <c r="T30" s="8" t="str">
        <f>=IF(C30="","",C30)</f>
      </c>
      <c r="U30" s="8" t="str">
        <f>=IF(D30="","",D30)</f>
      </c>
      <c r="V30" s="8" t="str">
        <f>=IF(E30="","",E30)</f>
      </c>
      <c r="W30" s="8" t="str">
        <f>=IF(F30="","",IF(F30="Continuada",1,0))</f>
      </c>
      <c r="X30" s="8" t="str">
        <f>=IF(G30="","",IF(G30="1r",1,0))</f>
      </c>
      <c r="Y30" s="8" t="str">
        <f>=IF(H30="","",IF(H30="Home",1,0))</f>
      </c>
      <c r="Z30" s="8" t="str">
        <f>=IF(I30="","",IF(OR(I30="Estadística",I30="Doble Eco+Est",I30="Doble ADE+Soc",I30="Doble ADE+Mat",I30="Doble ADE+Dret",I30="Doble ADE+Qui"),1,0))</f>
      </c>
      <c r="AA30" s="8" t="str">
        <f>=IF(J30="","",IF(OR(J30="T.Parcial",J30="T.Complet"),1,0))</f>
      </c>
      <c r="AB30" s="8" t="str">
        <f>=IF(K30="","",K30)</f>
      </c>
      <c r="AC30" s="8" t="str">
        <f>=IF(L30="","",L30)</f>
      </c>
      <c r="AD30" s="8" t="str">
        <f>=IF(M30="","",M30)</f>
      </c>
      <c r="AE30" s="8" t="str">
        <f>=IF(N30="","",N30)</f>
      </c>
      <c r="AF30" s="8" t="str">
        <f>=IF(O30="","",O30)</f>
      </c>
      <c r="AG30" s="8" t="str">
        <f>=IF(P30="","",P30)</f>
      </c>
      <c r="AH30" s="8" t="str">
        <f>=IF(Q30="","",Q30)</f>
      </c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S31" s="8" t="str">
        <f>=IF(B31="","",B31)</f>
      </c>
      <c r="T31" s="8" t="str">
        <f>=IF(C31="","",C31)</f>
      </c>
      <c r="U31" s="8" t="str">
        <f>=IF(D31="","",D31)</f>
      </c>
      <c r="V31" s="8" t="str">
        <f>=IF(E31="","",E31)</f>
      </c>
      <c r="W31" s="8" t="str">
        <f>=IF(F31="","",IF(F31="Continuada",1,0))</f>
      </c>
      <c r="X31" s="8" t="str">
        <f>=IF(G31="","",IF(G31="1r",1,0))</f>
      </c>
      <c r="Y31" s="8" t="str">
        <f>=IF(H31="","",IF(H31="Home",1,0))</f>
      </c>
      <c r="Z31" s="8" t="str">
        <f>=IF(I31="","",IF(OR(I31="Estadística",I31="Doble Eco+Est",I31="Doble ADE+Soc",I31="Doble ADE+Mat",I31="Doble ADE+Dret",I31="Doble ADE+Qui"),1,0))</f>
      </c>
      <c r="AA31" s="8" t="str">
        <f>=IF(J31="","",IF(OR(J31="T.Parcial",J31="T.Complet"),1,0))</f>
      </c>
      <c r="AB31" s="8" t="str">
        <f>=IF(K31="","",K31)</f>
      </c>
      <c r="AC31" s="8" t="str">
        <f>=IF(L31="","",L31)</f>
      </c>
      <c r="AD31" s="8" t="str">
        <f>=IF(M31="","",M31)</f>
      </c>
      <c r="AE31" s="8" t="str">
        <f>=IF(N31="","",N31)</f>
      </c>
      <c r="AF31" s="8" t="str">
        <f>=IF(O31="","",O31)</f>
      </c>
      <c r="AG31" s="8" t="str">
        <f>=IF(P31="","",P31)</f>
      </c>
      <c r="AH31" s="8" t="str">
        <f>=IF(Q31="","",Q31)</f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S32" s="8" t="str">
        <f>=IF(B32="","",B32)</f>
      </c>
      <c r="T32" s="8" t="str">
        <f>=IF(C32="","",C32)</f>
      </c>
      <c r="U32" s="8" t="str">
        <f>=IF(D32="","",D32)</f>
      </c>
      <c r="V32" s="8" t="str">
        <f>=IF(E32="","",E32)</f>
      </c>
      <c r="W32" s="8" t="str">
        <f>=IF(F32="","",IF(F32="Continuada",1,0))</f>
      </c>
      <c r="X32" s="8" t="str">
        <f>=IF(G32="","",IF(G32="1r",1,0))</f>
      </c>
      <c r="Y32" s="8" t="str">
        <f>=IF(H32="","",IF(H32="Home",1,0))</f>
      </c>
      <c r="Z32" s="8" t="str">
        <f>=IF(I32="","",IF(OR(I32="Estadística",I32="Doble Eco+Est",I32="Doble ADE+Soc",I32="Doble ADE+Mat",I32="Doble ADE+Dret",I32="Doble ADE+Qui"),1,0))</f>
      </c>
      <c r="AA32" s="8" t="str">
        <f>=IF(J32="","",IF(OR(J32="T.Parcial",J32="T.Complet"),1,0))</f>
      </c>
      <c r="AB32" s="8" t="str">
        <f>=IF(K32="","",K32)</f>
      </c>
      <c r="AC32" s="8" t="str">
        <f>=IF(L32="","",L32)</f>
      </c>
      <c r="AD32" s="8" t="str">
        <f>=IF(M32="","",M32)</f>
      </c>
      <c r="AE32" s="8" t="str">
        <f>=IF(N32="","",N32)</f>
      </c>
      <c r="AF32" s="8" t="str">
        <f>=IF(O32="","",O32)</f>
      </c>
      <c r="AG32" s="8" t="str">
        <f>=IF(P32="","",P32)</f>
      </c>
      <c r="AH32" s="8" t="str">
        <f>=IF(Q32="","",Q32)</f>
      </c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S33" s="8" t="str">
        <f>=IF(B33="","",B33)</f>
      </c>
      <c r="T33" s="8" t="str">
        <f>=IF(C33="","",C33)</f>
      </c>
      <c r="U33" s="8" t="str">
        <f>=IF(D33="","",D33)</f>
      </c>
      <c r="V33" s="8" t="str">
        <f>=IF(E33="","",E33)</f>
      </c>
      <c r="W33" s="8" t="str">
        <f>=IF(F33="","",IF(F33="Continuada",1,0))</f>
      </c>
      <c r="X33" s="8" t="str">
        <f>=IF(G33="","",IF(G33="1r",1,0))</f>
      </c>
      <c r="Y33" s="8" t="str">
        <f>=IF(H33="","",IF(H33="Home",1,0))</f>
      </c>
      <c r="Z33" s="8" t="str">
        <f>=IF(I33="","",IF(OR(I33="Estadística",I33="Doble Eco+Est",I33="Doble ADE+Soc",I33="Doble ADE+Mat",I33="Doble ADE+Dret",I33="Doble ADE+Qui"),1,0))</f>
      </c>
      <c r="AA33" s="8" t="str">
        <f>=IF(J33="","",IF(OR(J33="T.Parcial",J33="T.Complet"),1,0))</f>
      </c>
      <c r="AB33" s="8" t="str">
        <f>=IF(K33="","",K33)</f>
      </c>
      <c r="AC33" s="8" t="str">
        <f>=IF(L33="","",L33)</f>
      </c>
      <c r="AD33" s="8" t="str">
        <f>=IF(M33="","",M33)</f>
      </c>
      <c r="AE33" s="8" t="str">
        <f>=IF(N33="","",N33)</f>
      </c>
      <c r="AF33" s="8" t="str">
        <f>=IF(O33="","",O33)</f>
      </c>
      <c r="AG33" s="8" t="str">
        <f>=IF(P33="","",P33)</f>
      </c>
      <c r="AH33" s="8" t="str">
        <f>=IF(Q33="","",Q33)</f>
      </c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S34" s="8" t="str">
        <f>=IF(B34="","",B34)</f>
      </c>
      <c r="T34" s="8" t="str">
        <f>=IF(C34="","",C34)</f>
      </c>
      <c r="U34" s="8" t="str">
        <f>=IF(D34="","",D34)</f>
      </c>
      <c r="V34" s="8" t="str">
        <f>=IF(E34="","",E34)</f>
      </c>
      <c r="W34" s="8" t="str">
        <f>=IF(F34="","",IF(F34="Continuada",1,0))</f>
      </c>
      <c r="X34" s="8" t="str">
        <f>=IF(G34="","",IF(G34="1r",1,0))</f>
      </c>
      <c r="Y34" s="8" t="str">
        <f>=IF(H34="","",IF(H34="Home",1,0))</f>
      </c>
      <c r="Z34" s="8" t="str">
        <f>=IF(I34="","",IF(OR(I34="Estadística",I34="Doble Eco+Est",I34="Doble ADE+Soc",I34="Doble ADE+Mat",I34="Doble ADE+Dret",I34="Doble ADE+Qui"),1,0))</f>
      </c>
      <c r="AA34" s="8" t="str">
        <f>=IF(J34="","",IF(OR(J34="T.Parcial",J34="T.Complet"),1,0))</f>
      </c>
      <c r="AB34" s="8" t="str">
        <f>=IF(K34="","",K34)</f>
      </c>
      <c r="AC34" s="8" t="str">
        <f>=IF(L34="","",L34)</f>
      </c>
      <c r="AD34" s="8" t="str">
        <f>=IF(M34="","",M34)</f>
      </c>
      <c r="AE34" s="8" t="str">
        <f>=IF(N34="","",N34)</f>
      </c>
      <c r="AF34" s="8" t="str">
        <f>=IF(O34="","",O34)</f>
      </c>
      <c r="AG34" s="8" t="str">
        <f>=IF(P34="","",P34)</f>
      </c>
      <c r="AH34" s="8" t="str">
        <f>=IF(Q34="","",Q34)</f>
      </c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S35" s="8" t="str">
        <f>=IF(B35="","",B35)</f>
      </c>
      <c r="T35" s="8" t="str">
        <f>=IF(C35="","",C35)</f>
      </c>
      <c r="U35" s="8" t="str">
        <f>=IF(D35="","",D35)</f>
      </c>
      <c r="V35" s="8" t="str">
        <f>=IF(E35="","",E35)</f>
      </c>
      <c r="W35" s="8" t="str">
        <f>=IF(F35="","",IF(F35="Continuada",1,0))</f>
      </c>
      <c r="X35" s="8" t="str">
        <f>=IF(G35="","",IF(G35="1r",1,0))</f>
      </c>
      <c r="Y35" s="8" t="str">
        <f>=IF(H35="","",IF(H35="Home",1,0))</f>
      </c>
      <c r="Z35" s="8" t="str">
        <f>=IF(I35="","",IF(OR(I35="Estadística",I35="Doble Eco+Est",I35="Doble ADE+Soc",I35="Doble ADE+Mat",I35="Doble ADE+Dret",I35="Doble ADE+Qui"),1,0))</f>
      </c>
      <c r="AA35" s="8" t="str">
        <f>=IF(J35="","",IF(OR(J35="T.Parcial",J35="T.Complet"),1,0))</f>
      </c>
      <c r="AB35" s="8" t="str">
        <f>=IF(K35="","",K35)</f>
      </c>
      <c r="AC35" s="8" t="str">
        <f>=IF(L35="","",L35)</f>
      </c>
      <c r="AD35" s="8" t="str">
        <f>=IF(M35="","",M35)</f>
      </c>
      <c r="AE35" s="8" t="str">
        <f>=IF(N35="","",N35)</f>
      </c>
      <c r="AF35" s="8" t="str">
        <f>=IF(O35="","",O35)</f>
      </c>
      <c r="AG35" s="8" t="str">
        <f>=IF(P35="","",P35)</f>
      </c>
      <c r="AH35" s="8" t="str">
        <f>=IF(Q35="","",Q35)</f>
      </c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S36" s="8" t="str">
        <f>=IF(B36="","",B36)</f>
      </c>
      <c r="T36" s="8" t="str">
        <f>=IF(C36="","",C36)</f>
      </c>
      <c r="U36" s="8" t="str">
        <f>=IF(D36="","",D36)</f>
      </c>
      <c r="V36" s="8" t="str">
        <f>=IF(E36="","",E36)</f>
      </c>
      <c r="W36" s="8" t="str">
        <f>=IF(F36="","",IF(F36="Continuada",1,0))</f>
      </c>
      <c r="X36" s="8" t="str">
        <f>=IF(G36="","",IF(G36="1r",1,0))</f>
      </c>
      <c r="Y36" s="8" t="str">
        <f>=IF(H36="","",IF(H36="Home",1,0))</f>
      </c>
      <c r="Z36" s="8" t="str">
        <f>=IF(I36="","",IF(OR(I36="Estadística",I36="Doble Eco+Est",I36="Doble ADE+Soc",I36="Doble ADE+Mat",I36="Doble ADE+Dret",I36="Doble ADE+Qui"),1,0))</f>
      </c>
      <c r="AA36" s="8" t="str">
        <f>=IF(J36="","",IF(OR(J36="T.Parcial",J36="T.Complet"),1,0))</f>
      </c>
      <c r="AB36" s="8" t="str">
        <f>=IF(K36="","",K36)</f>
      </c>
      <c r="AC36" s="8" t="str">
        <f>=IF(L36="","",L36)</f>
      </c>
      <c r="AD36" s="8" t="str">
        <f>=IF(M36="","",M36)</f>
      </c>
      <c r="AE36" s="8" t="str">
        <f>=IF(N36="","",N36)</f>
      </c>
      <c r="AF36" s="8" t="str">
        <f>=IF(O36="","",O36)</f>
      </c>
      <c r="AG36" s="8" t="str">
        <f>=IF(P36="","",P36)</f>
      </c>
      <c r="AH36" s="8" t="str">
        <f>=IF(Q36="","",Q36)</f>
      </c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S37" s="8" t="str">
        <f>=IF(B37="","",B37)</f>
      </c>
      <c r="T37" s="8" t="str">
        <f>=IF(C37="","",C37)</f>
      </c>
      <c r="U37" s="8" t="str">
        <f>=IF(D37="","",D37)</f>
      </c>
      <c r="V37" s="8" t="str">
        <f>=IF(E37="","",E37)</f>
      </c>
      <c r="W37" s="8" t="str">
        <f>=IF(F37="","",IF(F37="Continuada",1,0))</f>
      </c>
      <c r="X37" s="8" t="str">
        <f>=IF(G37="","",IF(G37="1r",1,0))</f>
      </c>
      <c r="Y37" s="8" t="str">
        <f>=IF(H37="","",IF(H37="Home",1,0))</f>
      </c>
      <c r="Z37" s="8" t="str">
        <f>=IF(I37="","",IF(OR(I37="Estadística",I37="Doble Eco+Est",I37="Doble ADE+Soc",I37="Doble ADE+Mat",I37="Doble ADE+Dret",I37="Doble ADE+Qui"),1,0))</f>
      </c>
      <c r="AA37" s="8" t="str">
        <f>=IF(J37="","",IF(OR(J37="T.Parcial",J37="T.Complet"),1,0))</f>
      </c>
      <c r="AB37" s="8" t="str">
        <f>=IF(K37="","",K37)</f>
      </c>
      <c r="AC37" s="8" t="str">
        <f>=IF(L37="","",L37)</f>
      </c>
      <c r="AD37" s="8" t="str">
        <f>=IF(M37="","",M37)</f>
      </c>
      <c r="AE37" s="8" t="str">
        <f>=IF(N37="","",N37)</f>
      </c>
      <c r="AF37" s="8" t="str">
        <f>=IF(O37="","",O37)</f>
      </c>
      <c r="AG37" s="8" t="str">
        <f>=IF(P37="","",P37)</f>
      </c>
      <c r="AH37" s="8" t="str">
        <f>=IF(Q37="","",Q37)</f>
      </c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S38" s="8" t="str">
        <f>=IF(B38="","",B38)</f>
      </c>
      <c r="T38" s="8" t="str">
        <f>=IF(C38="","",C38)</f>
      </c>
      <c r="U38" s="8" t="str">
        <f>=IF(D38="","",D38)</f>
      </c>
      <c r="V38" s="8" t="str">
        <f>=IF(E38="","",E38)</f>
      </c>
      <c r="W38" s="8" t="str">
        <f>=IF(F38="","",IF(F38="Continuada",1,0))</f>
      </c>
      <c r="X38" s="8" t="str">
        <f>=IF(G38="","",IF(G38="1r",1,0))</f>
      </c>
      <c r="Y38" s="8" t="str">
        <f>=IF(H38="","",IF(H38="Home",1,0))</f>
      </c>
      <c r="Z38" s="8" t="str">
        <f>=IF(I38="","",IF(OR(I38="Estadística",I38="Doble Eco+Est",I38="Doble ADE+Soc",I38="Doble ADE+Mat",I38="Doble ADE+Dret",I38="Doble ADE+Qui"),1,0))</f>
      </c>
      <c r="AA38" s="8" t="str">
        <f>=IF(J38="","",IF(OR(J38="T.Parcial",J38="T.Complet"),1,0))</f>
      </c>
      <c r="AB38" s="8" t="str">
        <f>=IF(K38="","",K38)</f>
      </c>
      <c r="AC38" s="8" t="str">
        <f>=IF(L38="","",L38)</f>
      </c>
      <c r="AD38" s="8" t="str">
        <f>=IF(M38="","",M38)</f>
      </c>
      <c r="AE38" s="8" t="str">
        <f>=IF(N38="","",N38)</f>
      </c>
      <c r="AF38" s="8" t="str">
        <f>=IF(O38="","",O38)</f>
      </c>
      <c r="AG38" s="8" t="str">
        <f>=IF(P38="","",P38)</f>
      </c>
      <c r="AH38" s="8" t="str">
        <f>=IF(Q38="","",Q38)</f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S39" s="8" t="str">
        <f>=IF(B39="","",B39)</f>
      </c>
      <c r="T39" s="8" t="str">
        <f>=IF(C39="","",C39)</f>
      </c>
      <c r="U39" s="8" t="str">
        <f>=IF(D39="","",D39)</f>
      </c>
      <c r="V39" s="8" t="str">
        <f>=IF(E39="","",E39)</f>
      </c>
      <c r="W39" s="8" t="str">
        <f>=IF(F39="","",IF(F39="Continuada",1,0))</f>
      </c>
      <c r="X39" s="8" t="str">
        <f>=IF(G39="","",IF(G39="1r",1,0))</f>
      </c>
      <c r="Y39" s="8" t="str">
        <f>=IF(H39="","",IF(H39="Home",1,0))</f>
      </c>
      <c r="Z39" s="8" t="str">
        <f>=IF(I39="","",IF(OR(I39="Estadística",I39="Doble Eco+Est",I39="Doble ADE+Soc",I39="Doble ADE+Mat",I39="Doble ADE+Dret",I39="Doble ADE+Qui"),1,0))</f>
      </c>
      <c r="AA39" s="8" t="str">
        <f>=IF(J39="","",IF(OR(J39="T.Parcial",J39="T.Complet"),1,0))</f>
      </c>
      <c r="AB39" s="8" t="str">
        <f>=IF(K39="","",K39)</f>
      </c>
      <c r="AC39" s="8" t="str">
        <f>=IF(L39="","",L39)</f>
      </c>
      <c r="AD39" s="8" t="str">
        <f>=IF(M39="","",M39)</f>
      </c>
      <c r="AE39" s="8" t="str">
        <f>=IF(N39="","",N39)</f>
      </c>
      <c r="AF39" s="8" t="str">
        <f>=IF(O39="","",O39)</f>
      </c>
      <c r="AG39" s="8" t="str">
        <f>=IF(P39="","",P39)</f>
      </c>
      <c r="AH39" s="8" t="str">
        <f>=IF(Q39="","",Q39)</f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S40" s="8" t="str">
        <f>=IF(B40="","",B40)</f>
      </c>
      <c r="T40" s="8" t="str">
        <f>=IF(C40="","",C40)</f>
      </c>
      <c r="U40" s="8" t="str">
        <f>=IF(D40="","",D40)</f>
      </c>
      <c r="V40" s="8" t="str">
        <f>=IF(E40="","",E40)</f>
      </c>
      <c r="W40" s="8" t="str">
        <f>=IF(F40="","",IF(F40="Continuada",1,0))</f>
      </c>
      <c r="X40" s="8" t="str">
        <f>=IF(G40="","",IF(G40="1r",1,0))</f>
      </c>
      <c r="Y40" s="8" t="str">
        <f>=IF(H40="","",IF(H40="Home",1,0))</f>
      </c>
      <c r="Z40" s="8" t="str">
        <f>=IF(I40="","",IF(OR(I40="Estadística",I40="Doble Eco+Est",I40="Doble ADE+Soc",I40="Doble ADE+Mat",I40="Doble ADE+Dret",I40="Doble ADE+Qui"),1,0))</f>
      </c>
      <c r="AA40" s="8" t="str">
        <f>=IF(J40="","",IF(OR(J40="T.Parcial",J40="T.Complet"),1,0))</f>
      </c>
      <c r="AB40" s="8" t="str">
        <f>=IF(K40="","",K40)</f>
      </c>
      <c r="AC40" s="8" t="str">
        <f>=IF(L40="","",L40)</f>
      </c>
      <c r="AD40" s="8" t="str">
        <f>=IF(M40="","",M40)</f>
      </c>
      <c r="AE40" s="8" t="str">
        <f>=IF(N40="","",N40)</f>
      </c>
      <c r="AF40" s="8" t="str">
        <f>=IF(O40="","",O40)</f>
      </c>
      <c r="AG40" s="8" t="str">
        <f>=IF(P40="","",P40)</f>
      </c>
      <c r="AH40" s="8" t="str">
        <f>=IF(Q40="","",Q40)</f>
      </c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S41" s="8" t="str">
        <f>=IF(B41="","",B41)</f>
      </c>
      <c r="T41" s="8" t="str">
        <f>=IF(C41="","",C41)</f>
      </c>
      <c r="U41" s="8" t="str">
        <f>=IF(D41="","",D41)</f>
      </c>
      <c r="V41" s="8" t="str">
        <f>=IF(E41="","",E41)</f>
      </c>
      <c r="W41" s="8" t="str">
        <f>=IF(F41="","",IF(F41="Continuada",1,0))</f>
      </c>
      <c r="X41" s="8" t="str">
        <f>=IF(G41="","",IF(G41="1r",1,0))</f>
      </c>
      <c r="Y41" s="8" t="str">
        <f>=IF(H41="","",IF(H41="Home",1,0))</f>
      </c>
      <c r="Z41" s="8" t="str">
        <f>=IF(I41="","",IF(OR(I41="Estadística",I41="Doble Eco+Est",I41="Doble ADE+Soc",I41="Doble ADE+Mat",I41="Doble ADE+Dret",I41="Doble ADE+Qui"),1,0))</f>
      </c>
      <c r="AA41" s="8" t="str">
        <f>=IF(J41="","",IF(OR(J41="T.Parcial",J41="T.Complet"),1,0))</f>
      </c>
      <c r="AB41" s="8" t="str">
        <f>=IF(K41="","",K41)</f>
      </c>
      <c r="AC41" s="8" t="str">
        <f>=IF(L41="","",L41)</f>
      </c>
      <c r="AD41" s="8" t="str">
        <f>=IF(M41="","",M41)</f>
      </c>
      <c r="AE41" s="8" t="str">
        <f>=IF(N41="","",N41)</f>
      </c>
      <c r="AF41" s="8" t="str">
        <f>=IF(O41="","",O41)</f>
      </c>
      <c r="AG41" s="8" t="str">
        <f>=IF(P41="","",P41)</f>
      </c>
      <c r="AH41" s="8" t="str">
        <f>=IF(Q41="","",Q41)</f>
      </c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S42" s="8" t="str">
        <f>=IF(B42="","",B42)</f>
      </c>
      <c r="T42" s="8" t="str">
        <f>=IF(C42="","",C42)</f>
      </c>
      <c r="U42" s="8" t="str">
        <f>=IF(D42="","",D42)</f>
      </c>
      <c r="V42" s="8" t="str">
        <f>=IF(E42="","",E42)</f>
      </c>
      <c r="W42" s="8" t="str">
        <f>=IF(F42="","",IF(F42="Continuada",1,0))</f>
      </c>
      <c r="X42" s="8" t="str">
        <f>=IF(G42="","",IF(G42="1r",1,0))</f>
      </c>
      <c r="Y42" s="8" t="str">
        <f>=IF(H42="","",IF(H42="Home",1,0))</f>
      </c>
      <c r="Z42" s="8" t="str">
        <f>=IF(I42="","",IF(OR(I42="Estadística",I42="Doble Eco+Est",I42="Doble ADE+Soc",I42="Doble ADE+Mat",I42="Doble ADE+Dret",I42="Doble ADE+Qui"),1,0))</f>
      </c>
      <c r="AA42" s="8" t="str">
        <f>=IF(J42="","",IF(OR(J42="T.Parcial",J42="T.Complet"),1,0))</f>
      </c>
      <c r="AB42" s="8" t="str">
        <f>=IF(K42="","",K42)</f>
      </c>
      <c r="AC42" s="8" t="str">
        <f>=IF(L42="","",L42)</f>
      </c>
      <c r="AD42" s="8" t="str">
        <f>=IF(M42="","",M42)</f>
      </c>
      <c r="AE42" s="8" t="str">
        <f>=IF(N42="","",N42)</f>
      </c>
      <c r="AF42" s="8" t="str">
        <f>=IF(O42="","",O42)</f>
      </c>
      <c r="AG42" s="8" t="str">
        <f>=IF(P42="","",P42)</f>
      </c>
      <c r="AH42" s="8" t="str">
        <f>=IF(Q42="","",Q42)</f>
      </c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S43" s="8" t="str">
        <f>=IF(B43="","",B43)</f>
      </c>
      <c r="T43" s="8" t="str">
        <f>=IF(C43="","",C43)</f>
      </c>
      <c r="U43" s="8" t="str">
        <f>=IF(D43="","",D43)</f>
      </c>
      <c r="V43" s="8" t="str">
        <f>=IF(E43="","",E43)</f>
      </c>
      <c r="W43" s="8" t="str">
        <f>=IF(F43="","",IF(F43="Continuada",1,0))</f>
      </c>
      <c r="X43" s="8" t="str">
        <f>=IF(G43="","",IF(G43="1r",1,0))</f>
      </c>
      <c r="Y43" s="8" t="str">
        <f>=IF(H43="","",IF(H43="Home",1,0))</f>
      </c>
      <c r="Z43" s="8" t="str">
        <f>=IF(I43="","",IF(OR(I43="Estadística",I43="Doble Eco+Est",I43="Doble ADE+Soc",I43="Doble ADE+Mat",I43="Doble ADE+Dret",I43="Doble ADE+Qui"),1,0))</f>
      </c>
      <c r="AA43" s="8" t="str">
        <f>=IF(J43="","",IF(OR(J43="T.Parcial",J43="T.Complet"),1,0))</f>
      </c>
      <c r="AB43" s="8" t="str">
        <f>=IF(K43="","",K43)</f>
      </c>
      <c r="AC43" s="8" t="str">
        <f>=IF(L43="","",L43)</f>
      </c>
      <c r="AD43" s="8" t="str">
        <f>=IF(M43="","",M43)</f>
      </c>
      <c r="AE43" s="8" t="str">
        <f>=IF(N43="","",N43)</f>
      </c>
      <c r="AF43" s="8" t="str">
        <f>=IF(O43="","",O43)</f>
      </c>
      <c r="AG43" s="8" t="str">
        <f>=IF(P43="","",P43)</f>
      </c>
      <c r="AH43" s="8" t="str">
        <f>=IF(Q43="","",Q43)</f>
      </c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S44" s="8" t="str">
        <f>=IF(B44="","",B44)</f>
      </c>
      <c r="T44" s="8" t="str">
        <f>=IF(C44="","",C44)</f>
      </c>
      <c r="U44" s="8" t="str">
        <f>=IF(D44="","",D44)</f>
      </c>
      <c r="V44" s="8" t="str">
        <f>=IF(E44="","",E44)</f>
      </c>
      <c r="W44" s="8" t="str">
        <f>=IF(F44="","",IF(F44="Continuada",1,0))</f>
      </c>
      <c r="X44" s="8" t="str">
        <f>=IF(G44="","",IF(G44="1r",1,0))</f>
      </c>
      <c r="Y44" s="8" t="str">
        <f>=IF(H44="","",IF(H44="Home",1,0))</f>
      </c>
      <c r="Z44" s="8" t="str">
        <f>=IF(I44="","",IF(OR(I44="Estadística",I44="Doble Eco+Est",I44="Doble ADE+Soc",I44="Doble ADE+Mat",I44="Doble ADE+Dret",I44="Doble ADE+Qui"),1,0))</f>
      </c>
      <c r="AA44" s="8" t="str">
        <f>=IF(J44="","",IF(OR(J44="T.Parcial",J44="T.Complet"),1,0))</f>
      </c>
      <c r="AB44" s="8" t="str">
        <f>=IF(K44="","",K44)</f>
      </c>
      <c r="AC44" s="8" t="str">
        <f>=IF(L44="","",L44)</f>
      </c>
      <c r="AD44" s="8" t="str">
        <f>=IF(M44="","",M44)</f>
      </c>
      <c r="AE44" s="8" t="str">
        <f>=IF(N44="","",N44)</f>
      </c>
      <c r="AF44" s="8" t="str">
        <f>=IF(O44="","",O44)</f>
      </c>
      <c r="AG44" s="8" t="str">
        <f>=IF(P44="","",P44)</f>
      </c>
      <c r="AH44" s="8" t="str">
        <f>=IF(Q44="","",Q44)</f>
      </c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S45" s="8" t="str">
        <f>=IF(B45="","",B45)</f>
      </c>
      <c r="T45" s="8" t="str">
        <f>=IF(C45="","",C45)</f>
      </c>
      <c r="U45" s="8" t="str">
        <f>=IF(D45="","",D45)</f>
      </c>
      <c r="V45" s="8" t="str">
        <f>=IF(E45="","",E45)</f>
      </c>
      <c r="W45" s="8" t="str">
        <f>=IF(F45="","",IF(F45="Continuada",1,0))</f>
      </c>
      <c r="X45" s="8" t="str">
        <f>=IF(G45="","",IF(G45="1r",1,0))</f>
      </c>
      <c r="Y45" s="8" t="str">
        <f>=IF(H45="","",IF(H45="Home",1,0))</f>
      </c>
      <c r="Z45" s="8" t="str">
        <f>=IF(I45="","",IF(OR(I45="Estadística",I45="Doble Eco+Est",I45="Doble ADE+Soc",I45="Doble ADE+Mat",I45="Doble ADE+Dret",I45="Doble ADE+Qui"),1,0))</f>
      </c>
      <c r="AA45" s="8" t="str">
        <f>=IF(J45="","",IF(OR(J45="T.Parcial",J45="T.Complet"),1,0))</f>
      </c>
      <c r="AB45" s="8" t="str">
        <f>=IF(K45="","",K45)</f>
      </c>
      <c r="AC45" s="8" t="str">
        <f>=IF(L45="","",L45)</f>
      </c>
      <c r="AD45" s="8" t="str">
        <f>=IF(M45="","",M45)</f>
      </c>
      <c r="AE45" s="8" t="str">
        <f>=IF(N45="","",N45)</f>
      </c>
      <c r="AF45" s="8" t="str">
        <f>=IF(O45="","",O45)</f>
      </c>
      <c r="AG45" s="8" t="str">
        <f>=IF(P45="","",P45)</f>
      </c>
      <c r="AH45" s="8" t="str">
        <f>=IF(Q45="","",Q45)</f>
      </c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S46" s="8" t="str">
        <f>=IF(B46="","",B46)</f>
      </c>
      <c r="T46" s="8" t="str">
        <f>=IF(C46="","",C46)</f>
      </c>
      <c r="U46" s="8" t="str">
        <f>=IF(D46="","",D46)</f>
      </c>
      <c r="V46" s="8" t="str">
        <f>=IF(E46="","",E46)</f>
      </c>
      <c r="W46" s="8" t="str">
        <f>=IF(F46="","",IF(F46="Continuada",1,0))</f>
      </c>
      <c r="X46" s="8" t="str">
        <f>=IF(G46="","",IF(G46="1r",1,0))</f>
      </c>
      <c r="Y46" s="8" t="str">
        <f>=IF(H46="","",IF(H46="Home",1,0))</f>
      </c>
      <c r="Z46" s="8" t="str">
        <f>=IF(I46="","",IF(OR(I46="Estadística",I46="Doble Eco+Est",I46="Doble ADE+Soc",I46="Doble ADE+Mat",I46="Doble ADE+Dret",I46="Doble ADE+Qui"),1,0))</f>
      </c>
      <c r="AA46" s="8" t="str">
        <f>=IF(J46="","",IF(OR(J46="T.Parcial",J46="T.Complet"),1,0))</f>
      </c>
      <c r="AB46" s="8" t="str">
        <f>=IF(K46="","",K46)</f>
      </c>
      <c r="AC46" s="8" t="str">
        <f>=IF(L46="","",L46)</f>
      </c>
      <c r="AD46" s="8" t="str">
        <f>=IF(M46="","",M46)</f>
      </c>
      <c r="AE46" s="8" t="str">
        <f>=IF(N46="","",N46)</f>
      </c>
      <c r="AF46" s="8" t="str">
        <f>=IF(O46="","",O46)</f>
      </c>
      <c r="AG46" s="8" t="str">
        <f>=IF(P46="","",P46)</f>
      </c>
      <c r="AH46" s="8" t="str">
        <f>=IF(Q46="","",Q46)</f>
      </c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S47" s="8" t="str">
        <f>=IF(B47="","",B47)</f>
      </c>
      <c r="T47" s="8" t="str">
        <f>=IF(C47="","",C47)</f>
      </c>
      <c r="U47" s="8" t="str">
        <f>=IF(D47="","",D47)</f>
      </c>
      <c r="V47" s="8" t="str">
        <f>=IF(E47="","",E47)</f>
      </c>
      <c r="W47" s="8" t="str">
        <f>=IF(F47="","",IF(F47="Continuada",1,0))</f>
      </c>
      <c r="X47" s="8" t="str">
        <f>=IF(G47="","",IF(G47="1r",1,0))</f>
      </c>
      <c r="Y47" s="8" t="str">
        <f>=IF(H47="","",IF(H47="Home",1,0))</f>
      </c>
      <c r="Z47" s="8" t="str">
        <f>=IF(I47="","",IF(OR(I47="Estadística",I47="Doble Eco+Est",I47="Doble ADE+Soc",I47="Doble ADE+Mat",I47="Doble ADE+Dret",I47="Doble ADE+Qui"),1,0))</f>
      </c>
      <c r="AA47" s="8" t="str">
        <f>=IF(J47="","",IF(OR(J47="T.Parcial",J47="T.Complet"),1,0))</f>
      </c>
      <c r="AB47" s="8" t="str">
        <f>=IF(K47="","",K47)</f>
      </c>
      <c r="AC47" s="8" t="str">
        <f>=IF(L47="","",L47)</f>
      </c>
      <c r="AD47" s="8" t="str">
        <f>=IF(M47="","",M47)</f>
      </c>
      <c r="AE47" s="8" t="str">
        <f>=IF(N47="","",N47)</f>
      </c>
      <c r="AF47" s="8" t="str">
        <f>=IF(O47="","",O47)</f>
      </c>
      <c r="AG47" s="8" t="str">
        <f>=IF(P47="","",P47)</f>
      </c>
      <c r="AH47" s="8" t="str">
        <f>=IF(Q47="","",Q47)</f>
      </c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S48" s="8" t="str">
        <f>=IF(B48="","",B48)</f>
      </c>
      <c r="T48" s="8" t="str">
        <f>=IF(C48="","",C48)</f>
      </c>
      <c r="U48" s="8" t="str">
        <f>=IF(D48="","",D48)</f>
      </c>
      <c r="V48" s="8" t="str">
        <f>=IF(E48="","",E48)</f>
      </c>
      <c r="W48" s="8" t="str">
        <f>=IF(F48="","",IF(F48="Continuada",1,0))</f>
      </c>
      <c r="X48" s="8" t="str">
        <f>=IF(G48="","",IF(G48="1r",1,0))</f>
      </c>
      <c r="Y48" s="8" t="str">
        <f>=IF(H48="","",IF(H48="Home",1,0))</f>
      </c>
      <c r="Z48" s="8" t="str">
        <f>=IF(I48="","",IF(OR(I48="Estadística",I48="Doble Eco+Est",I48="Doble ADE+Soc",I48="Doble ADE+Mat",I48="Doble ADE+Dret",I48="Doble ADE+Qui"),1,0))</f>
      </c>
      <c r="AA48" s="8" t="str">
        <f>=IF(J48="","",IF(OR(J48="T.Parcial",J48="T.Complet"),1,0))</f>
      </c>
      <c r="AB48" s="8" t="str">
        <f>=IF(K48="","",K48)</f>
      </c>
      <c r="AC48" s="8" t="str">
        <f>=IF(L48="","",L48)</f>
      </c>
      <c r="AD48" s="8" t="str">
        <f>=IF(M48="","",M48)</f>
      </c>
      <c r="AE48" s="8" t="str">
        <f>=IF(N48="","",N48)</f>
      </c>
      <c r="AF48" s="8" t="str">
        <f>=IF(O48="","",O48)</f>
      </c>
      <c r="AG48" s="8" t="str">
        <f>=IF(P48="","",P48)</f>
      </c>
      <c r="AH48" s="8" t="str">
        <f>=IF(Q48="","",Q48)</f>
      </c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S49" s="8" t="str">
        <f>=IF(B49="","",B49)</f>
      </c>
      <c r="T49" s="8" t="str">
        <f>=IF(C49="","",C49)</f>
      </c>
      <c r="U49" s="8" t="str">
        <f>=IF(D49="","",D49)</f>
      </c>
      <c r="V49" s="8" t="str">
        <f>=IF(E49="","",E49)</f>
      </c>
      <c r="W49" s="8" t="str">
        <f>=IF(F49="","",IF(F49="Continuada",1,0))</f>
      </c>
      <c r="X49" s="8" t="str">
        <f>=IF(G49="","",IF(G49="1r",1,0))</f>
      </c>
      <c r="Y49" s="8" t="str">
        <f>=IF(H49="","",IF(H49="Home",1,0))</f>
      </c>
      <c r="Z49" s="8" t="str">
        <f>=IF(I49="","",IF(OR(I49="Estadística",I49="Doble Eco+Est",I49="Doble ADE+Soc",I49="Doble ADE+Mat",I49="Doble ADE+Dret",I49="Doble ADE+Qui"),1,0))</f>
      </c>
      <c r="AA49" s="8" t="str">
        <f>=IF(J49="","",IF(OR(J49="T.Parcial",J49="T.Complet"),1,0))</f>
      </c>
      <c r="AB49" s="8" t="str">
        <f>=IF(K49="","",K49)</f>
      </c>
      <c r="AC49" s="8" t="str">
        <f>=IF(L49="","",L49)</f>
      </c>
      <c r="AD49" s="8" t="str">
        <f>=IF(M49="","",M49)</f>
      </c>
      <c r="AE49" s="8" t="str">
        <f>=IF(N49="","",N49)</f>
      </c>
      <c r="AF49" s="8" t="str">
        <f>=IF(O49="","",O49)</f>
      </c>
      <c r="AG49" s="8" t="str">
        <f>=IF(P49="","",P49)</f>
      </c>
      <c r="AH49" s="8" t="str">
        <f>=IF(Q49="","",Q49)</f>
      </c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S50" s="8" t="str">
        <f>=IF(B50="","",B50)</f>
      </c>
      <c r="T50" s="8" t="str">
        <f>=IF(C50="","",C50)</f>
      </c>
      <c r="U50" s="8" t="str">
        <f>=IF(D50="","",D50)</f>
      </c>
      <c r="V50" s="8" t="str">
        <f>=IF(E50="","",E50)</f>
      </c>
      <c r="W50" s="8" t="str">
        <f>=IF(F50="","",IF(F50="Continuada",1,0))</f>
      </c>
      <c r="X50" s="8" t="str">
        <f>=IF(G50="","",IF(G50="1r",1,0))</f>
      </c>
      <c r="Y50" s="8" t="str">
        <f>=IF(H50="","",IF(H50="Home",1,0))</f>
      </c>
      <c r="Z50" s="8" t="str">
        <f>=IF(I50="","",IF(OR(I50="Estadística",I50="Doble Eco+Est",I50="Doble ADE+Soc",I50="Doble ADE+Mat",I50="Doble ADE+Dret",I50="Doble ADE+Qui"),1,0))</f>
      </c>
      <c r="AA50" s="8" t="str">
        <f>=IF(J50="","",IF(OR(J50="T.Parcial",J50="T.Complet"),1,0))</f>
      </c>
      <c r="AB50" s="8" t="str">
        <f>=IF(K50="","",K50)</f>
      </c>
      <c r="AC50" s="8" t="str">
        <f>=IF(L50="","",L50)</f>
      </c>
      <c r="AD50" s="8" t="str">
        <f>=IF(M50="","",M50)</f>
      </c>
      <c r="AE50" s="8" t="str">
        <f>=IF(N50="","",N50)</f>
      </c>
      <c r="AF50" s="8" t="str">
        <f>=IF(O50="","",O50)</f>
      </c>
      <c r="AG50" s="8" t="str">
        <f>=IF(P50="","",P50)</f>
      </c>
      <c r="AH50" s="8" t="str">
        <f>=IF(Q50="","",Q50)</f>
      </c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S51" s="8" t="str">
        <f>=IF(B51="","",B51)</f>
      </c>
      <c r="T51" s="8" t="str">
        <f>=IF(C51="","",C51)</f>
      </c>
      <c r="U51" s="8" t="str">
        <f>=IF(D51="","",D51)</f>
      </c>
      <c r="V51" s="8" t="str">
        <f>=IF(E51="","",E51)</f>
      </c>
      <c r="W51" s="8" t="str">
        <f>=IF(F51="","",IF(F51="Continuada",1,0))</f>
      </c>
      <c r="X51" s="8" t="str">
        <f>=IF(G51="","",IF(G51="1r",1,0))</f>
      </c>
      <c r="Y51" s="8" t="str">
        <f>=IF(H51="","",IF(H51="Home",1,0))</f>
      </c>
      <c r="Z51" s="8" t="str">
        <f>=IF(I51="","",IF(OR(I51="Estadística",I51="Doble Eco+Est",I51="Doble ADE+Soc",I51="Doble ADE+Mat",I51="Doble ADE+Dret",I51="Doble ADE+Qui"),1,0))</f>
      </c>
      <c r="AA51" s="8" t="str">
        <f>=IF(J51="","",IF(OR(J51="T.Parcial",J51="T.Complet"),1,0))</f>
      </c>
      <c r="AB51" s="8" t="str">
        <f>=IF(K51="","",K51)</f>
      </c>
      <c r="AC51" s="8" t="str">
        <f>=IF(L51="","",L51)</f>
      </c>
      <c r="AD51" s="8" t="str">
        <f>=IF(M51="","",M51)</f>
      </c>
      <c r="AE51" s="8" t="str">
        <f>=IF(N51="","",N51)</f>
      </c>
      <c r="AF51" s="8" t="str">
        <f>=IF(O51="","",O51)</f>
      </c>
      <c r="AG51" s="8" t="str">
        <f>=IF(P51="","",P51)</f>
      </c>
      <c r="AH51" s="8" t="str">
        <f>=IF(Q51="","",Q51)</f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S52" s="8" t="str">
        <f>=IF(B52="","",B52)</f>
      </c>
      <c r="T52" s="8" t="str">
        <f>=IF(C52="","",C52)</f>
      </c>
      <c r="U52" s="8" t="str">
        <f>=IF(D52="","",D52)</f>
      </c>
      <c r="V52" s="8" t="str">
        <f>=IF(E52="","",E52)</f>
      </c>
      <c r="W52" s="8" t="str">
        <f>=IF(F52="","",IF(F52="Continuada",1,0))</f>
      </c>
      <c r="X52" s="8" t="str">
        <f>=IF(G52="","",IF(G52="1r",1,0))</f>
      </c>
      <c r="Y52" s="8" t="str">
        <f>=IF(H52="","",IF(H52="Home",1,0))</f>
      </c>
      <c r="Z52" s="8" t="str">
        <f>=IF(I52="","",IF(OR(I52="Estadística",I52="Doble Eco+Est",I52="Doble ADE+Soc",I52="Doble ADE+Mat",I52="Doble ADE+Dret",I52="Doble ADE+Qui"),1,0))</f>
      </c>
      <c r="AA52" s="8" t="str">
        <f>=IF(J52="","",IF(OR(J52="T.Parcial",J52="T.Complet"),1,0))</f>
      </c>
      <c r="AB52" s="8" t="str">
        <f>=IF(K52="","",K52)</f>
      </c>
      <c r="AC52" s="8" t="str">
        <f>=IF(L52="","",L52)</f>
      </c>
      <c r="AD52" s="8" t="str">
        <f>=IF(M52="","",M52)</f>
      </c>
      <c r="AE52" s="8" t="str">
        <f>=IF(N52="","",N52)</f>
      </c>
      <c r="AF52" s="8" t="str">
        <f>=IF(O52="","",O52)</f>
      </c>
      <c r="AG52" s="8" t="str">
        <f>=IF(P52="","",P52)</f>
      </c>
      <c r="AH52" s="8" t="str">
        <f>=IF(Q52="","",Q52)</f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S53" s="8" t="str">
        <f>=IF(B53="","",B53)</f>
      </c>
      <c r="T53" s="8" t="str">
        <f>=IF(C53="","",C53)</f>
      </c>
      <c r="U53" s="8" t="str">
        <f>=IF(D53="","",D53)</f>
      </c>
      <c r="V53" s="8" t="str">
        <f>=IF(E53="","",E53)</f>
      </c>
      <c r="W53" s="8" t="str">
        <f>=IF(F53="","",IF(F53="Continuada",1,0))</f>
      </c>
      <c r="X53" s="8" t="str">
        <f>=IF(G53="","",IF(G53="1r",1,0))</f>
      </c>
      <c r="Y53" s="8" t="str">
        <f>=IF(H53="","",IF(H53="Home",1,0))</f>
      </c>
      <c r="Z53" s="8" t="str">
        <f>=IF(I53="","",IF(OR(I53="Estadística",I53="Doble Eco+Est",I53="Doble ADE+Soc",I53="Doble ADE+Mat",I53="Doble ADE+Dret",I53="Doble ADE+Qui"),1,0))</f>
      </c>
      <c r="AA53" s="8" t="str">
        <f>=IF(J53="","",IF(OR(J53="T.Parcial",J53="T.Complet"),1,0))</f>
      </c>
      <c r="AB53" s="8" t="str">
        <f>=IF(K53="","",K53)</f>
      </c>
      <c r="AC53" s="8" t="str">
        <f>=IF(L53="","",L53)</f>
      </c>
      <c r="AD53" s="8" t="str">
        <f>=IF(M53="","",M53)</f>
      </c>
      <c r="AE53" s="8" t="str">
        <f>=IF(N53="","",N53)</f>
      </c>
      <c r="AF53" s="8" t="str">
        <f>=IF(O53="","",O53)</f>
      </c>
      <c r="AG53" s="8" t="str">
        <f>=IF(P53="","",P53)</f>
      </c>
      <c r="AH53" s="8" t="str">
        <f>=IF(Q53="","",Q53)</f>
      </c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S54" s="8" t="str">
        <f>=IF(B54="","",B54)</f>
      </c>
      <c r="T54" s="8" t="str">
        <f>=IF(C54="","",C54)</f>
      </c>
      <c r="U54" s="8" t="str">
        <f>=IF(D54="","",D54)</f>
      </c>
      <c r="V54" s="8" t="str">
        <f>=IF(E54="","",E54)</f>
      </c>
      <c r="W54" s="8" t="str">
        <f>=IF(F54="","",IF(F54="Continuada",1,0))</f>
      </c>
      <c r="X54" s="8" t="str">
        <f>=IF(G54="","",IF(G54="1r",1,0))</f>
      </c>
      <c r="Y54" s="8" t="str">
        <f>=IF(H54="","",IF(H54="Home",1,0))</f>
      </c>
      <c r="Z54" s="8" t="str">
        <f>=IF(I54="","",IF(OR(I54="Estadística",I54="Doble Eco+Est",I54="Doble ADE+Soc",I54="Doble ADE+Mat",I54="Doble ADE+Dret",I54="Doble ADE+Qui"),1,0))</f>
      </c>
      <c r="AA54" s="8" t="str">
        <f>=IF(J54="","",IF(OR(J54="T.Parcial",J54="T.Complet"),1,0))</f>
      </c>
      <c r="AB54" s="8" t="str">
        <f>=IF(K54="","",K54)</f>
      </c>
      <c r="AC54" s="8" t="str">
        <f>=IF(L54="","",L54)</f>
      </c>
      <c r="AD54" s="8" t="str">
        <f>=IF(M54="","",M54)</f>
      </c>
      <c r="AE54" s="8" t="str">
        <f>=IF(N54="","",N54)</f>
      </c>
      <c r="AF54" s="8" t="str">
        <f>=IF(O54="","",O54)</f>
      </c>
      <c r="AG54" s="8" t="str">
        <f>=IF(P54="","",P54)</f>
      </c>
      <c r="AH54" s="8" t="str">
        <f>=IF(Q54="","",Q54)</f>
      </c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S55" s="8" t="str">
        <f>=IF(B55="","",B55)</f>
      </c>
      <c r="T55" s="8" t="str">
        <f>=IF(C55="","",C55)</f>
      </c>
      <c r="U55" s="8" t="str">
        <f>=IF(D55="","",D55)</f>
      </c>
      <c r="V55" s="8" t="str">
        <f>=IF(E55="","",E55)</f>
      </c>
      <c r="W55" s="8" t="str">
        <f>=IF(F55="","",IF(F55="Continuada",1,0))</f>
      </c>
      <c r="X55" s="8" t="str">
        <f>=IF(G55="","",IF(G55="1r",1,0))</f>
      </c>
      <c r="Y55" s="8" t="str">
        <f>=IF(H55="","",IF(H55="Home",1,0))</f>
      </c>
      <c r="Z55" s="8" t="str">
        <f>=IF(I55="","",IF(OR(I55="Estadística",I55="Doble Eco+Est",I55="Doble ADE+Soc",I55="Doble ADE+Mat",I55="Doble ADE+Dret",I55="Doble ADE+Qui"),1,0))</f>
      </c>
      <c r="AA55" s="8" t="str">
        <f>=IF(J55="","",IF(OR(J55="T.Parcial",J55="T.Complet"),1,0))</f>
      </c>
      <c r="AB55" s="8" t="str">
        <f>=IF(K55="","",K55)</f>
      </c>
      <c r="AC55" s="8" t="str">
        <f>=IF(L55="","",L55)</f>
      </c>
      <c r="AD55" s="8" t="str">
        <f>=IF(M55="","",M55)</f>
      </c>
      <c r="AE55" s="8" t="str">
        <f>=IF(N55="","",N55)</f>
      </c>
      <c r="AF55" s="8" t="str">
        <f>=IF(O55="","",O55)</f>
      </c>
      <c r="AG55" s="8" t="str">
        <f>=IF(P55="","",P55)</f>
      </c>
      <c r="AH55" s="8" t="str">
        <f>=IF(Q55="","",Q55)</f>
      </c>
    </row>
  </sheetData>
  <mergeCells count="5">
    <mergeCell ref="A1:AH1"/>
    <mergeCell ref="A2:AH2"/>
    <mergeCell ref="A3:AH3"/>
    <mergeCell ref="A4:Q4"/>
    <mergeCell ref="S4:AH4"/>
  </mergeCells>
  <dataValidations count="11">
    <dataValidation type="whole" operator="between" allowBlank="1" showInputMessage="1" showErrorMessage="1" sqref="E6:E55">
      <formula1>1</formula1>
      <formula2>5</formula2>
    </dataValidation>
    <dataValidation type="whole" operator="between" allowBlank="1" showInputMessage="1" showErrorMessage="1" sqref="K6:K55">
      <formula1>1</formula1>
      <formula2>6</formula2>
    </dataValidation>
    <dataValidation type="whole" operator="between" allowBlank="1" showInputMessage="1" showErrorMessage="1" sqref="L6:L55">
      <formula1>1</formula1>
      <formula2>6</formula2>
    </dataValidation>
    <dataValidation type="whole" operator="between" allowBlank="1" showInputMessage="1" showErrorMessage="1" sqref="M6:M55">
      <formula1>1</formula1>
      <formula2>6</formula2>
    </dataValidation>
    <dataValidation type="whole" operator="between" allowBlank="1" showInputMessage="1" showErrorMessage="1" sqref="N6:N55">
      <formula1>1</formula1>
      <formula2>6</formula2>
    </dataValidation>
    <dataValidation type="whole" operator="between" allowBlank="1" showInputMessage="1" showErrorMessage="1" sqref="O6:O55">
      <formula1>1</formula1>
      <formula2>6</formula2>
    </dataValidation>
    <dataValidation type="whole" operator="between" allowBlank="1" showInputMessage="1" showErrorMessage="1" sqref="P6:P55">
      <formula1>1</formula1>
      <formula2>6</formula2>
    </dataValidation>
    <dataValidation type="whole" operator="between" allowBlank="1" showInputMessage="1" showErrorMessage="1" sqref="Q6:Q55">
      <formula1>1</formula1>
      <formula2>6</formula2>
    </dataValidation>
    <dataValidation type="whole" operator="between" allowBlank="1" showInputMessage="1" showErrorMessage="1" sqref="B6:B55">
      <formula1>17</formula1>
      <formula2>70</formula2>
    </dataValidation>
    <dataValidation type="whole" operator="between" allowBlank="1" showInputMessage="1" showErrorMessage="1" sqref="C6:C55">
      <formula1>0</formula1>
      <formula2>300</formula2>
    </dataValidation>
    <dataValidation type="whole" operator="between" allowBlank="1" showInputMessage="1" showErrorMessage="1" sqref="D6:D55">
      <formula1>1</formula1>
      <formula2>16</formula2>
    </dataValidation>
  </dataValidations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"Continuada,Única"</xm:f>
          </x14:formula1>
          <xm:sqref>F6:F55</xm:sqref>
        </x14:dataValidation>
        <x14:dataValidation type="list" allowBlank="1" showInputMessage="1" showErrorMessage="1">
          <x14:formula1>
            <xm:f>"1r,2n,3r,4t,5è,6è+"</xm:f>
          </x14:formula1>
          <xm:sqref>G6:G55</xm:sqref>
        </x14:dataValidation>
        <x14:dataValidation type="list" allowBlank="1" showInputMessage="1" showErrorMessage="1">
          <x14:formula1>
            <xm:f>"Home,Dona,No binari,Prefereixo no respondre"</xm:f>
          </x14:formula1>
          <xm:sqref>H6:H55</xm:sqref>
        </x14:dataValidation>
        <x14:dataValidation type="list" allowBlank="1" showInputMessage="1" showErrorMessage="1">
          <x14:formula1>
            <xm:f>Llistes!$A$2:$A$11</xm:f>
          </x14:formula1>
          <xm:sqref>I6:I55</xm:sqref>
        </x14:dataValidation>
        <x14:dataValidation type="list" allowBlank="1" showInputMessage="1" showErrorMessage="1">
          <x14:formula1>
            <xm:f>"E.Complet,T.Ocasional,T.Parcial,T.Complet"</xm:f>
          </x14:formula1>
          <xm:sqref>J6:J55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</cols>
  <sheetData>
    <row r="1">
      <c r="A1" s="9" t="s">
        <v>38</v>
      </c>
    </row>
    <row r="2">
      <c r="A2" s="10" t="s">
        <v>39</v>
      </c>
    </row>
    <row r="3">
      <c r="A3" s="10" t="s">
        <v>40</v>
      </c>
    </row>
    <row r="4">
      <c r="A4" s="10" t="s">
        <v>41</v>
      </c>
    </row>
    <row r="5">
      <c r="A5" s="10" t="s">
        <v>42</v>
      </c>
    </row>
    <row r="6">
      <c r="A6" s="10" t="s">
        <v>43</v>
      </c>
    </row>
    <row r="7">
      <c r="A7" s="10" t="s">
        <v>44</v>
      </c>
    </row>
    <row r="8">
      <c r="A8" s="10" t="s">
        <v>45</v>
      </c>
    </row>
    <row r="9">
      <c r="A9" s="10" t="s">
        <v>46</v>
      </c>
    </row>
    <row r="10">
      <c r="A10" s="10" t="s">
        <v>39</v>
      </c>
    </row>
    <row r="11">
      <c r="A11" s="10" t="s">
        <v>47</v>
      </c>
    </row>
    <row r="12">
      <c r="A12" s="10" t="s">
        <v>39</v>
      </c>
    </row>
    <row r="13">
      <c r="A13" s="10" t="s">
        <v>48</v>
      </c>
    </row>
    <row r="14">
      <c r="A14" s="10" t="s">
        <v>49</v>
      </c>
    </row>
    <row r="15">
      <c r="A15" s="10" t="s">
        <v>39</v>
      </c>
    </row>
    <row r="16">
      <c r="A16" s="10" t="s">
        <v>50</v>
      </c>
    </row>
    <row r="17">
      <c r="A17" s="10" t="s">
        <v>51</v>
      </c>
    </row>
    <row r="18">
      <c r="A18" s="10" t="s">
        <v>39</v>
      </c>
    </row>
    <row r="19">
      <c r="A19" s="10" t="s">
        <v>52</v>
      </c>
    </row>
    <row r="20">
      <c r="A20" s="10" t="s">
        <v>39</v>
      </c>
    </row>
    <row r="21">
      <c r="A21" s="10" t="s">
        <v>53</v>
      </c>
    </row>
    <row r="22">
      <c r="A22" s="10" t="s">
        <v>39</v>
      </c>
    </row>
    <row r="23">
      <c r="A23" s="10" t="s">
        <v>54</v>
      </c>
    </row>
    <row r="24">
      <c r="A24" s="10" t="s">
        <v>55</v>
      </c>
    </row>
    <row r="25">
      <c r="A25" s="10" t="s">
        <v>56</v>
      </c>
    </row>
    <row r="26">
      <c r="A26" s="10" t="s">
        <v>39</v>
      </c>
    </row>
    <row r="27">
      <c r="A27" s="10" t="s">
        <v>57</v>
      </c>
    </row>
    <row r="28">
      <c r="A28" s="10" t="s">
        <v>58</v>
      </c>
    </row>
    <row r="29">
      <c r="A29" s="10" t="s">
        <v>59</v>
      </c>
    </row>
    <row r="30">
      <c r="A30" s="10" t="s">
        <v>60</v>
      </c>
    </row>
    <row r="31">
      <c r="A31" s="10" t="s">
        <v>61</v>
      </c>
    </row>
    <row r="32">
      <c r="A32" s="10" t="s">
        <v>39</v>
      </c>
    </row>
    <row r="33">
      <c r="A33" s="10" t="s">
        <v>62</v>
      </c>
    </row>
    <row r="34">
      <c r="A34" s="10" t="s">
        <v>63</v>
      </c>
    </row>
    <row r="35">
      <c r="A35" s="10" t="s">
        <v>39</v>
      </c>
    </row>
    <row r="36">
      <c r="A36" s="10" t="s">
        <v>64</v>
      </c>
    </row>
    <row r="37">
      <c r="A37" s="1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s">
        <v>28</v>
      </c>
    </row>
    <row r="3">
      <c r="A3" t="s">
        <v>29</v>
      </c>
    </row>
    <row r="4">
      <c r="A4" t="s">
        <v>30</v>
      </c>
    </row>
    <row r="5">
      <c r="A5" t="s">
        <v>31</v>
      </c>
    </row>
    <row r="6">
      <c r="A6" t="s">
        <v>32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36</v>
      </c>
    </row>
    <row r="11">
      <c r="A1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Edurne</dc:creator>
  <cp:lastModifiedBy>Edurne</cp:lastModifiedBy>
  <dcterms:created xsi:type="dcterms:W3CDTF">2026-06-22T18:41:06Z</dcterms:created>
</coreProperties>
</file>