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lla" sheetId="1" state="visible" r:id="rId1"/>
    <sheet name="Instruccions" sheetId="2" state="visible" r:id="rId2"/>
    <sheet name="Llistes" sheetId="3" state="hidden" r:id="rId3"/>
  </sheets>
</workbook>
</file>

<file path=xl/sharedStrings.xml><?xml version="1.0" encoding="utf-8"?>
<sst xmlns="http://schemas.openxmlformats.org/spreadsheetml/2006/main" count="106" uniqueCount="106">
  <si>
    <t xml:space="preserve">PLANTILLA ALUMNAT ANTIC — Predicció de risc d'absentisme (TFG FEE/UB)</t>
  </si>
  <si>
    <t xml:space="preserve">Emplena totes les columnes BLAVES. Les columnes GRISES es calculen automàticament. Exporta TOTES les columnes grises (AQ:BG) com a CSV i puja-les al Shiny (pestanya Alumnat antic).</t>
  </si>
  <si>
    <t xml:space="preserve">NOTA: 1=5.0-5.9  |  2=6.0-6.9  |  3=7.0-7.9  |  4=8.0-8.9  |  5=≥9.0     IA_*/M_*/E_* (escala Likert):  1=mai  2=gairebé mai  3=de vegades  4=sovint  5=molt sovint  6=sempre</t>
  </si>
  <si>
    <t xml:space="preserve">ENTRADA DE DADES (emplenar)</t>
  </si>
  <si>
    <t xml:space="preserve">VARIABLES MODEL RF-A (factor scores EFA + pre-curs) — exportar com a CSV per al Shiny</t>
  </si>
  <si>
    <t xml:space="preserve">id</t>
  </si>
  <si>
    <t xml:space="preserve">EDAT</t>
  </si>
  <si>
    <t xml:space="preserve">DESPL</t>
  </si>
  <si>
    <t xml:space="preserve">N_ASSIG</t>
  </si>
  <si>
    <t xml:space="preserve">NOTA</t>
  </si>
  <si>
    <t xml:space="preserve">T_AVAL</t>
  </si>
  <si>
    <t xml:space="preserve">CURS</t>
  </si>
  <si>
    <t xml:space="preserve">GENERE</t>
  </si>
  <si>
    <t xml:space="preserve">GRAU</t>
  </si>
  <si>
    <t xml:space="preserve">DEDIC</t>
  </si>
  <si>
    <t xml:space="preserve">IA_HABIT</t>
  </si>
  <si>
    <t xml:space="preserve">IA_COMPR</t>
  </si>
  <si>
    <t xml:space="preserve">IA_REND</t>
  </si>
  <si>
    <t xml:space="preserve">IA_PDFS</t>
  </si>
  <si>
    <t xml:space="preserve">IA_SUBST</t>
  </si>
  <si>
    <t xml:space="preserve">IA_ATENC</t>
  </si>
  <si>
    <t xml:space="preserve">IA_CONF</t>
  </si>
  <si>
    <t xml:space="preserve">M_PASSIU</t>
  </si>
  <si>
    <t xml:space="preserve">M_TEOR</t>
  </si>
  <si>
    <t xml:space="preserve">M_AVORR</t>
  </si>
  <si>
    <t xml:space="preserve">M_PROF</t>
  </si>
  <si>
    <t xml:space="preserve">M_AMICS</t>
  </si>
  <si>
    <t xml:space="preserve">M_AUTON</t>
  </si>
  <si>
    <t xml:space="preserve">M_CV</t>
  </si>
  <si>
    <t xml:space="preserve">M_UTIL</t>
  </si>
  <si>
    <t xml:space="preserve">M_EXAM</t>
  </si>
  <si>
    <t xml:space="preserve">M_REPET</t>
  </si>
  <si>
    <t xml:space="preserve">M_FAM</t>
  </si>
  <si>
    <t xml:space="preserve">M_SALUT</t>
  </si>
  <si>
    <t xml:space="preserve">M_TREB</t>
  </si>
  <si>
    <t xml:space="preserve">E_EXPL</t>
  </si>
  <si>
    <t xml:space="preserve">E_RITME</t>
  </si>
  <si>
    <t xml:space="preserve">E_CLIMA</t>
  </si>
  <si>
    <t xml:space="preserve">E_PROP</t>
  </si>
  <si>
    <t xml:space="preserve">E_ACT_AC</t>
  </si>
  <si>
    <t xml:space="preserve">E_PES_AC</t>
  </si>
  <si>
    <t xml:space="preserve">E_PART</t>
  </si>
  <si>
    <t xml:space="preserve">E_DINAM</t>
  </si>
  <si>
    <t xml:space="preserve">E_DESC</t>
  </si>
  <si>
    <t xml:space="preserve">E_CURT</t>
  </si>
  <si>
    <t xml:space="preserve">E_REDU</t>
  </si>
  <si>
    <t xml:space="preserve">MOT_DESMOTIVACIO</t>
  </si>
  <si>
    <t xml:space="preserve">MOT_AUTOGESTIO</t>
  </si>
  <si>
    <t xml:space="preserve">MOT_FORCA_MAJOR</t>
  </si>
  <si>
    <t xml:space="preserve">EST_QUALITAT_DOC</t>
  </si>
  <si>
    <t xml:space="preserve">EST_AVALUACIO_AC</t>
  </si>
  <si>
    <t xml:space="preserve">EST_TEMPS_CLASSE</t>
  </si>
  <si>
    <t xml:space="preserve">EST_GRUPS_REDUITS</t>
  </si>
  <si>
    <t xml:space="preserve">IA_EINA_ESTUDI</t>
  </si>
  <si>
    <t xml:space="preserve">IA_SUBST_num</t>
  </si>
  <si>
    <t xml:space="preserve">T_AVAL_num</t>
  </si>
  <si>
    <t xml:space="preserve">CURS_1R_num</t>
  </si>
  <si>
    <t xml:space="preserve">NOTA_num</t>
  </si>
  <si>
    <t xml:space="preserve">DOBLE_GRAU_EST</t>
  </si>
  <si>
    <t xml:space="preserve">TREB_INTENS</t>
  </si>
  <si>
    <t xml:space="preserve">ADE</t>
  </si>
  <si>
    <t xml:space="preserve">Economia</t>
  </si>
  <si>
    <t xml:space="preserve">Emp.Int</t>
  </si>
  <si>
    <t xml:space="preserve">Sociologia</t>
  </si>
  <si>
    <t xml:space="preserve">Estadística</t>
  </si>
  <si>
    <t xml:space="preserve">Doble Eco+Est</t>
  </si>
  <si>
    <t xml:space="preserve">Doble ADE+Soc</t>
  </si>
  <si>
    <t xml:space="preserve">Doble ADE+Mat</t>
  </si>
  <si>
    <t xml:space="preserve">Doble ADE+Dret</t>
  </si>
  <si>
    <t xml:space="preserve">Doble ADE+Qui</t>
  </si>
  <si>
    <t xml:space="preserve">COM USAR AQUESTA PLANTILLA (Alumnat Antic — Model RF-A)</t>
  </si>
  <si>
    <t xml:space="preserve"/>
  </si>
  <si>
    <t xml:space="preserve">1. Omple les columnes BLAVES (columnes A fins AO), una fila per alumne.</t>
  </si>
  <si>
    <t xml:space="preserve">   Blau fosc (A-J): variables pre-curs i demogràfiques.</t>
  </si>
  <si>
    <t xml:space="preserve">   Blau mig (K-Q):  ítems d'ús d'IA (escala 1-6).</t>
  </si>
  <si>
    <t xml:space="preserve">   Marró (R-AD):    ítems de motius d'absentisme M_* (escala 1-6).</t>
  </si>
  <si>
    <t xml:space="preserve">   Verd (AE-AO):    ítems d'estratègies docents E_* (escala 1-6).</t>
  </si>
  <si>
    <t xml:space="preserve">2. Les columnes GRISES (factor scores EFA + pre-curs) es calculen automàticament.</t>
  </si>
  <si>
    <t xml:space="preserve">   NO les editis manualment.</t>
  </si>
  <si>
    <t xml:space="preserve">3. Un cop omplert:</t>
  </si>
  <si>
    <t xml:space="preserve">   a. Selecciona les columnes grises (AQ fins au aprox.).</t>
  </si>
  <si>
    <t xml:space="preserve">   b. Copia i enganxa en un nou full (Enganxa especial &gt; Valors).</t>
  </si>
  <si>
    <t xml:space="preserve">   c. Desa com a CSV (UTF-8).</t>
  </si>
  <si>
    <t xml:space="preserve">4. Puja el CSV al Shiny, pestanya 'Alumnat antic'.</t>
  </si>
  <si>
    <t xml:space="preserve">CODIFICACIÓ DE LES VARIABLES</t>
  </si>
  <si>
    <t xml:space="preserve">NOTA (1-5): 1=5.0-5.9 | 2=6.0-6.9 | 3=7.0-7.9 | 4=8.0-8.9 | 5=≥9.0</t>
  </si>
  <si>
    <t xml:space="preserve">T_AVAL: Continuada / Única</t>
  </si>
  <si>
    <t xml:space="preserve">CURS: 1r / 2n / 3r / 4t / 5è / 6è+</t>
  </si>
  <si>
    <t xml:space="preserve">GENERE: Home / Dona / No binari / Prefereixo no respondre</t>
  </si>
  <si>
    <t xml:space="preserve">GRAU (dobles → DOBLE_GRAU_EST=1): Estadística | Doble Eco+Est | Doble ADE+Soc | Doble ADE+Mat | Doble ADE+Dret | Doble ADE+Qui</t>
  </si>
  <si>
    <t xml:space="preserve">DEDIC: E.Complet / T.Ocasional / T.Parcial / T.Complet</t>
  </si>
  <si>
    <t xml:space="preserve">  (TREB_INTENS=1 si T.Parcial o T.Complet)</t>
  </si>
  <si>
    <t xml:space="preserve">Escala Likert IA_*/M_*/E_* (1-6):</t>
  </si>
  <si>
    <t xml:space="preserve">  1=mai  2=gairebé mai  3=de vegades  4=sovint  5=molt sovint  6=sempre</t>
  </si>
  <si>
    <t xml:space="preserve">FACTORS EFA — ítems que els componen:</t>
  </si>
  <si>
    <t xml:space="preserve">  MOT_DESMOTIVACIO: M_PASSIU, M_TEOR, M_AVORR, M_PROF, M_AMICS</t>
  </si>
  <si>
    <t xml:space="preserve">  MOT_AUTOGESTIO:   M_AUTON, M_CV, M_UTIL, M_EXAM, M_REPET</t>
  </si>
  <si>
    <t xml:space="preserve">  MOT_FORCA_MAJOR:  M_FAM, M_SALUT, M_TREB</t>
  </si>
  <si>
    <t xml:space="preserve">  EST_QUALITAT_DOC: E_EXPL, E_RITME, E_CLIMA, E_PROP</t>
  </si>
  <si>
    <t xml:space="preserve">  EST_AVALUACIO_AC: E_ACT_AC, E_PES_AC, E_PART, E_DINAM</t>
  </si>
  <si>
    <t xml:space="preserve">  EST_TEMPS_CLASSE: E_DESC, E_CURT</t>
  </si>
  <si>
    <t xml:space="preserve">  EST_GRUPS_REDUITS: E_REDU</t>
  </si>
  <si>
    <t xml:space="preserve">  IA_EINA_ESTUDI:   IA_COMPR, IA_HABIT, IA_PDFS, IA_REND</t>
  </si>
  <si>
    <t xml:space="preserve">  IA_SUBST_num:     IA_SUBST (valor directe, no factor)</t>
  </si>
  <si>
    <t xml:space="preserve">VARIABLES DEL MODEL RF-A (columnes grises — no editar):</t>
  </si>
  <si>
    <t xml:space="preserve">MOT_DESMOTIVACIO, MOT_AUTOGESTIO, MOT_FORCA_MAJOR, EST_QUALITAT_DOC, EST_AVALUACIO_AC, EST_TEMPS_CLASSE, EST_GRUPS_REDUITS, IA_EINA_ESTUDI, IA_SUBST_num, T_AVAL_num, CURS_1R_num, EDAT, NOTA_num, DOBLE_GRAU_EST, TREB_INTENS, DESPL, N_ASSIG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</si>
</sst>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9"/>
      <color rgb="FF555555"/>
      <name val="Calibri"/>
      <i/>
    </font>
    <font>
      <sz val="10"/>
      <color rgb="FFFFFFFF"/>
      <name val="Calibri"/>
      <b/>
    </font>
    <font>
      <sz val="10"/>
      <color rgb="FF2C3E50"/>
      <name val="Calibri"/>
      <b/>
    </font>
    <font>
      <sz val="9"/>
      <color rgb="FFFFFFFF"/>
      <name val="Calibri"/>
      <b/>
    </font>
    <font>
      <sz val="9"/>
      <color rgb="FF2C3E50"/>
      <name val="Calibri"/>
      <b/>
    </font>
    <font>
      <sz val="10"/>
      <color rgb="FF000000"/>
      <name val="Calibri"/>
    </font>
    <font>
      <sz val="12"/>
      <color rgb="FFFFFFFF"/>
      <name val="Calibri"/>
      <b/>
    </font>
  </fonts>
  <fills count="12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6E9E"/>
      </patternFill>
    </fill>
    <fill>
      <patternFill patternType="solid">
        <fgColor rgb="FFA8D1E7"/>
      </patternFill>
    </fill>
    <fill>
      <patternFill patternType="solid">
        <fgColor rgb="FF4A90B8"/>
      </patternFill>
    </fill>
    <fill>
      <patternFill patternType="solid">
        <fgColor rgb="FF2E86AB"/>
      </patternFill>
    </fill>
    <fill>
      <patternFill patternType="solid">
        <fgColor rgb="FF7B3F00"/>
      </patternFill>
    </fill>
    <fill>
      <patternFill patternType="solid">
        <fgColor rgb="FF145A32"/>
      </patternFill>
    </fill>
    <fill>
      <patternFill patternType="solid">
        <fgColor rgb="FFD5E9F5"/>
      </patternFill>
    </fill>
    <fill>
      <patternFill patternType="solid">
        <fgColor rgb="FFE8F5E9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inden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xSplit="1" topLeftCell="B6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11.71" hidden="0" customWidth="1"/>
    <col min="7" max="7" width="11.71" hidden="0" customWidth="1"/>
    <col min="8" max="8" width="9.71" hidden="0" customWidth="1"/>
    <col min="9" max="9" width="15.71" hidden="0" customWidth="1"/>
    <col min="10" max="10" width="17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8.71" hidden="0" customWidth="1"/>
    <col min="31" max="31" width="8.71" hidden="0" customWidth="1"/>
    <col min="32" max="32" width="8.71" hidden="0" customWidth="1"/>
    <col min="33" max="33" width="8.71" hidden="0" customWidth="1"/>
    <col min="34" max="34" width="8.71" hidden="0" customWidth="1"/>
    <col min="35" max="35" width="8.71" hidden="0" customWidth="1"/>
    <col min="36" max="36" width="8.71" hidden="0" customWidth="1"/>
    <col min="37" max="37" width="8.71" hidden="0" customWidth="1"/>
    <col min="38" max="38" width="8.71" hidden="0" customWidth="1"/>
    <col min="39" max="39" width="8.71" hidden="0" customWidth="1"/>
    <col min="40" max="40" width="8.71" hidden="0" customWidth="1"/>
    <col min="41" max="41" width="8.71" hidden="0" customWidth="1"/>
    <col min="42" max="42" width="2.71" hidden="0" customWidth="1"/>
    <col min="43" max="43" width="14.71" hidden="0" customWidth="1"/>
    <col min="44" max="44" width="14.71" hidden="0" customWidth="1"/>
    <col min="45" max="45" width="14.71" hidden="0" customWidth="1"/>
    <col min="46" max="46" width="14.71" hidden="0" customWidth="1"/>
    <col min="47" max="47" width="14.71" hidden="0" customWidth="1"/>
    <col min="48" max="48" width="14.71" hidden="0" customWidth="1"/>
    <col min="49" max="49" width="14.71" hidden="0" customWidth="1"/>
    <col min="50" max="50" width="14.71" hidden="0" customWidth="1"/>
    <col min="51" max="51" width="9.71" hidden="0" customWidth="1"/>
    <col min="52" max="52" width="9.71" hidden="0" customWidth="1"/>
    <col min="53" max="53" width="9.71" hidden="0" customWidth="1"/>
    <col min="54" max="54" width="9.71" hidden="0" customWidth="1"/>
    <col min="55" max="55" width="9.71" hidden="0" customWidth="1"/>
    <col min="56" max="56" width="9.71" hidden="0" customWidth="1"/>
    <col min="57" max="57" width="9.71" hidden="0" customWidth="1"/>
    <col min="58" max="58" width="9.71" hidden="0" customWidth="1"/>
    <col min="59" max="59" width="9.71" hidden="0" customWidth="1"/>
  </cols>
  <sheetData>
    <row r="1" ht="2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ht="16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Q4" s="4" t="s">
        <v>4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ht="32" customHeight="1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6" t="s">
        <v>15</v>
      </c>
      <c r="L5" s="6" t="s">
        <v>16</v>
      </c>
      <c r="M5" s="6" t="s">
        <v>17</v>
      </c>
      <c r="N5" s="6" t="s">
        <v>18</v>
      </c>
      <c r="O5" s="6" t="s">
        <v>19</v>
      </c>
      <c r="P5" s="6" t="s">
        <v>20</v>
      </c>
      <c r="Q5" s="6" t="s">
        <v>21</v>
      </c>
      <c r="R5" s="7" t="s">
        <v>22</v>
      </c>
      <c r="S5" s="7" t="s">
        <v>23</v>
      </c>
      <c r="T5" s="7" t="s">
        <v>24</v>
      </c>
      <c r="U5" s="7" t="s">
        <v>25</v>
      </c>
      <c r="V5" s="7" t="s">
        <v>26</v>
      </c>
      <c r="W5" s="7" t="s">
        <v>27</v>
      </c>
      <c r="X5" s="7" t="s">
        <v>28</v>
      </c>
      <c r="Y5" s="7" t="s">
        <v>29</v>
      </c>
      <c r="Z5" s="7" t="s">
        <v>30</v>
      </c>
      <c r="AA5" s="7" t="s">
        <v>31</v>
      </c>
      <c r="AB5" s="7" t="s">
        <v>32</v>
      </c>
      <c r="AC5" s="7" t="s">
        <v>33</v>
      </c>
      <c r="AD5" s="7" t="s">
        <v>34</v>
      </c>
      <c r="AE5" s="8" t="s">
        <v>35</v>
      </c>
      <c r="AF5" s="8" t="s">
        <v>36</v>
      </c>
      <c r="AG5" s="8" t="s">
        <v>37</v>
      </c>
      <c r="AH5" s="8" t="s">
        <v>38</v>
      </c>
      <c r="AI5" s="8" t="s">
        <v>39</v>
      </c>
      <c r="AJ5" s="8" t="s">
        <v>40</v>
      </c>
      <c r="AK5" s="8" t="s">
        <v>41</v>
      </c>
      <c r="AL5" s="8" t="s">
        <v>42</v>
      </c>
      <c r="AM5" s="8" t="s">
        <v>43</v>
      </c>
      <c r="AN5" s="8" t="s">
        <v>44</v>
      </c>
      <c r="AO5" s="8" t="s">
        <v>45</v>
      </c>
      <c r="AQ5" s="9" t="s">
        <v>46</v>
      </c>
      <c r="AR5" s="9" t="s">
        <v>47</v>
      </c>
      <c r="AS5" s="9" t="s">
        <v>48</v>
      </c>
      <c r="AT5" s="9" t="s">
        <v>49</v>
      </c>
      <c r="AU5" s="9" t="s">
        <v>50</v>
      </c>
      <c r="AV5" s="9" t="s">
        <v>51</v>
      </c>
      <c r="AW5" s="9" t="s">
        <v>52</v>
      </c>
      <c r="AX5" s="9" t="s">
        <v>53</v>
      </c>
      <c r="AY5" s="9" t="s">
        <v>54</v>
      </c>
      <c r="AZ5" s="10" t="s">
        <v>55</v>
      </c>
      <c r="BA5" s="10" t="s">
        <v>56</v>
      </c>
      <c r="BB5" s="10" t="s">
        <v>6</v>
      </c>
      <c r="BC5" s="10" t="s">
        <v>57</v>
      </c>
      <c r="BD5" s="10" t="s">
        <v>58</v>
      </c>
      <c r="BE5" s="10" t="s">
        <v>59</v>
      </c>
      <c r="BF5" s="10" t="s">
        <v>7</v>
      </c>
      <c r="BG5" s="10" t="s">
        <v>8</v>
      </c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Q6" s="12" t="str">
        <f>=IFERROR((IF(R6="",0,0.867*R6)+IF(S6="",0,0.854*S6)+IF(T6="",0,0.702*T6)+IF(U6="",0,0.561*U6)+IF(V6="",0,0.485*V6))/(IF(R6="",0,0.867)+IF(S6="",0,0.854)+IF(T6="",0,0.702)+IF(U6="",0,0.561)+IF(V6="",0,0.485)),"")</f>
      </c>
      <c r="AR6" s="12" t="str">
        <f>=IFERROR((IF(W6="",0,0.83*W6)+IF(X6="",0,0.739*X6)+IF(Y6="",0,0.607*Y6)+IF(Z6="",0,0.368*Z6)+IF(AA6="",0,0.335*AA6))/(IF(W6="",0,0.83)+IF(X6="",0,0.739)+IF(Y6="",0,0.607)+IF(Z6="",0,0.368)+IF(AA6="",0,0.335)),"")</f>
      </c>
      <c r="AS6" s="12" t="str">
        <f>=IFERROR((IF(AB6="",0,0.957*AB6)+IF(AC6="",0,0.84*AC6)+IF(AD6="",0,0.662*AD6))/(IF(AB6="",0,0.957)+IF(AC6="",0,0.84)+IF(AD6="",0,0.662)),"")</f>
      </c>
      <c r="AT6" s="12" t="str">
        <f>=IFERROR((IF(AE6="",0,0.985*AE6)+IF(AF6="",0,0.799*AF6)+IF(AG6="",0,0.782*AG6)+IF(AH6="",0,0.588*AH6))/(IF(AE6="",0,0.985)+IF(AF6="",0,0.799)+IF(AG6="",0,0.782)+IF(AH6="",0,0.588)),"")</f>
      </c>
      <c r="AU6" s="12" t="str">
        <f>=IFERROR((IF(AI6="",0,0.91*AI6)+IF(AJ6="",0,0.72*AJ6)+IF(AK6="",0,0.627*AK6)+IF(AL6="",0,0.385*AL6))/(IF(AI6="",0,0.91)+IF(AJ6="",0,0.72)+IF(AK6="",0,0.627)+IF(AL6="",0,0.385)),"")</f>
      </c>
      <c r="AV6" s="12" t="str">
        <f>=IFERROR((IF(AM6="",0,0.813*AM6)+IF(AN6="",0,0.665*AN6))/(IF(AM6="",0,0.813)+IF(AN6="",0,0.665)),"")</f>
      </c>
      <c r="AW6" s="12" t="str">
        <f>=IFERROR((IF(AO6="",0,0.863*AO6))/(IF(AO6="",0,0.863)),"")</f>
      </c>
      <c r="AX6" s="12" t="str">
        <f>=IFERROR((IF(L6="",0,0.903*L6)+IF(K6="",0,0.88*K6)+IF(N6="",0,0.762*N6)+IF(M6="",0,0.74*M6))/(IF(L6="",0,0.903)+IF(K6="",0,0.88)+IF(N6="",0,0.762)+IF(M6="",0,0.74)),"")</f>
      </c>
      <c r="AY6" s="12" t="str">
        <f>=IF(O6="","",O6</f>
      </c>
      <c r="AZ6" s="12" t="str">
        <f>=IF(F6="","",IF(F6="Continuada",1,0))</f>
      </c>
      <c r="BA6" s="12" t="str">
        <f>=IF(G6="","",IF(G6="1r",1,0))</f>
      </c>
      <c r="BB6" s="12" t="str">
        <f>=IF(B6="","",B6)</f>
      </c>
      <c r="BC6" s="12" t="str">
        <f>=IF(E6="","",E6)</f>
      </c>
      <c r="BD6" s="12" t="str">
        <f>=IF(I6="","",IF(OR(I6="Estadística",I6="Doble Eco+Est",I6="Doble ADE+Soc",I6="Doble ADE+Mat",I6="Doble ADE+Dret",I6="Doble ADE+Qui"),1,0))</f>
      </c>
      <c r="BE6" s="12" t="str">
        <f>=IF(J6="","",IF(OR(J6="T.Parcial",J6="T.Complet"),1,0))</f>
      </c>
      <c r="BF6" s="12" t="str">
        <f>=IF(C6="","",C6)</f>
      </c>
      <c r="BG6" s="12" t="str">
        <f>=IF(D6="","",D6)</f>
      </c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Q7" s="12" t="str">
        <f>=IFERROR((IF(R7="",0,0.867*R7)+IF(S7="",0,0.854*S7)+IF(T7="",0,0.702*T7)+IF(U7="",0,0.561*U7)+IF(V7="",0,0.485*V7))/(IF(R7="",0,0.867)+IF(S7="",0,0.854)+IF(T7="",0,0.702)+IF(U7="",0,0.561)+IF(V7="",0,0.485)),"")</f>
      </c>
      <c r="AR7" s="12" t="str">
        <f>=IFERROR((IF(W7="",0,0.83*W7)+IF(X7="",0,0.739*X7)+IF(Y7="",0,0.607*Y7)+IF(Z7="",0,0.368*Z7)+IF(AA7="",0,0.335*AA7))/(IF(W7="",0,0.83)+IF(X7="",0,0.739)+IF(Y7="",0,0.607)+IF(Z7="",0,0.368)+IF(AA7="",0,0.335)),"")</f>
      </c>
      <c r="AS7" s="12" t="str">
        <f>=IFERROR((IF(AB7="",0,0.957*AB7)+IF(AC7="",0,0.84*AC7)+IF(AD7="",0,0.662*AD7))/(IF(AB7="",0,0.957)+IF(AC7="",0,0.84)+IF(AD7="",0,0.662)),"")</f>
      </c>
      <c r="AT7" s="12" t="str">
        <f>=IFERROR((IF(AE7="",0,0.985*AE7)+IF(AF7="",0,0.799*AF7)+IF(AG7="",0,0.782*AG7)+IF(AH7="",0,0.588*AH7))/(IF(AE7="",0,0.985)+IF(AF7="",0,0.799)+IF(AG7="",0,0.782)+IF(AH7="",0,0.588)),"")</f>
      </c>
      <c r="AU7" s="12" t="str">
        <f>=IFERROR((IF(AI7="",0,0.91*AI7)+IF(AJ7="",0,0.72*AJ7)+IF(AK7="",0,0.627*AK7)+IF(AL7="",0,0.385*AL7))/(IF(AI7="",0,0.91)+IF(AJ7="",0,0.72)+IF(AK7="",0,0.627)+IF(AL7="",0,0.385)),"")</f>
      </c>
      <c r="AV7" s="12" t="str">
        <f>=IFERROR((IF(AM7="",0,0.813*AM7)+IF(AN7="",0,0.665*AN7))/(IF(AM7="",0,0.813)+IF(AN7="",0,0.665)),"")</f>
      </c>
      <c r="AW7" s="12" t="str">
        <f>=IFERROR((IF(AO7="",0,0.863*AO7))/(IF(AO7="",0,0.863)),"")</f>
      </c>
      <c r="AX7" s="12" t="str">
        <f>=IFERROR((IF(L7="",0,0.903*L7)+IF(K7="",0,0.88*K7)+IF(N7="",0,0.762*N7)+IF(M7="",0,0.74*M7))/(IF(L7="",0,0.903)+IF(K7="",0,0.88)+IF(N7="",0,0.762)+IF(M7="",0,0.74)),"")</f>
      </c>
      <c r="AY7" s="12" t="str">
        <f>=IF(O7="","",O7</f>
      </c>
      <c r="AZ7" s="12" t="str">
        <f>=IF(F7="","",IF(F7="Continuada",1,0))</f>
      </c>
      <c r="BA7" s="12" t="str">
        <f>=IF(G7="","",IF(G7="1r",1,0))</f>
      </c>
      <c r="BB7" s="12" t="str">
        <f>=IF(B7="","",B7)</f>
      </c>
      <c r="BC7" s="12" t="str">
        <f>=IF(E7="","",E7)</f>
      </c>
      <c r="BD7" s="12" t="str">
        <f>=IF(I7="","",IF(OR(I7="Estadística",I7="Doble Eco+Est",I7="Doble ADE+Soc",I7="Doble ADE+Mat",I7="Doble ADE+Dret",I7="Doble ADE+Qui"),1,0))</f>
      </c>
      <c r="BE7" s="12" t="str">
        <f>=IF(J7="","",IF(OR(J7="T.Parcial",J7="T.Complet"),1,0))</f>
      </c>
      <c r="BF7" s="12" t="str">
        <f>=IF(C7="","",C7)</f>
      </c>
      <c r="BG7" s="12" t="str">
        <f>=IF(D7="","",D7)</f>
      </c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Q8" s="12" t="str">
        <f>=IFERROR((IF(R8="",0,0.867*R8)+IF(S8="",0,0.854*S8)+IF(T8="",0,0.702*T8)+IF(U8="",0,0.561*U8)+IF(V8="",0,0.485*V8))/(IF(R8="",0,0.867)+IF(S8="",0,0.854)+IF(T8="",0,0.702)+IF(U8="",0,0.561)+IF(V8="",0,0.485)),"")</f>
      </c>
      <c r="AR8" s="12" t="str">
        <f>=IFERROR((IF(W8="",0,0.83*W8)+IF(X8="",0,0.739*X8)+IF(Y8="",0,0.607*Y8)+IF(Z8="",0,0.368*Z8)+IF(AA8="",0,0.335*AA8))/(IF(W8="",0,0.83)+IF(X8="",0,0.739)+IF(Y8="",0,0.607)+IF(Z8="",0,0.368)+IF(AA8="",0,0.335)),"")</f>
      </c>
      <c r="AS8" s="12" t="str">
        <f>=IFERROR((IF(AB8="",0,0.957*AB8)+IF(AC8="",0,0.84*AC8)+IF(AD8="",0,0.662*AD8))/(IF(AB8="",0,0.957)+IF(AC8="",0,0.84)+IF(AD8="",0,0.662)),"")</f>
      </c>
      <c r="AT8" s="12" t="str">
        <f>=IFERROR((IF(AE8="",0,0.985*AE8)+IF(AF8="",0,0.799*AF8)+IF(AG8="",0,0.782*AG8)+IF(AH8="",0,0.588*AH8))/(IF(AE8="",0,0.985)+IF(AF8="",0,0.799)+IF(AG8="",0,0.782)+IF(AH8="",0,0.588)),"")</f>
      </c>
      <c r="AU8" s="12" t="str">
        <f>=IFERROR((IF(AI8="",0,0.91*AI8)+IF(AJ8="",0,0.72*AJ8)+IF(AK8="",0,0.627*AK8)+IF(AL8="",0,0.385*AL8))/(IF(AI8="",0,0.91)+IF(AJ8="",0,0.72)+IF(AK8="",0,0.627)+IF(AL8="",0,0.385)),"")</f>
      </c>
      <c r="AV8" s="12" t="str">
        <f>=IFERROR((IF(AM8="",0,0.813*AM8)+IF(AN8="",0,0.665*AN8))/(IF(AM8="",0,0.813)+IF(AN8="",0,0.665)),"")</f>
      </c>
      <c r="AW8" s="12" t="str">
        <f>=IFERROR((IF(AO8="",0,0.863*AO8))/(IF(AO8="",0,0.863)),"")</f>
      </c>
      <c r="AX8" s="12" t="str">
        <f>=IFERROR((IF(L8="",0,0.903*L8)+IF(K8="",0,0.88*K8)+IF(N8="",0,0.762*N8)+IF(M8="",0,0.74*M8))/(IF(L8="",0,0.903)+IF(K8="",0,0.88)+IF(N8="",0,0.762)+IF(M8="",0,0.74)),"")</f>
      </c>
      <c r="AY8" s="12" t="str">
        <f>=IF(O8="","",O8</f>
      </c>
      <c r="AZ8" s="12" t="str">
        <f>=IF(F8="","",IF(F8="Continuada",1,0))</f>
      </c>
      <c r="BA8" s="12" t="str">
        <f>=IF(G8="","",IF(G8="1r",1,0))</f>
      </c>
      <c r="BB8" s="12" t="str">
        <f>=IF(B8="","",B8)</f>
      </c>
      <c r="BC8" s="12" t="str">
        <f>=IF(E8="","",E8)</f>
      </c>
      <c r="BD8" s="12" t="str">
        <f>=IF(I8="","",IF(OR(I8="Estadística",I8="Doble Eco+Est",I8="Doble ADE+Soc",I8="Doble ADE+Mat",I8="Doble ADE+Dret",I8="Doble ADE+Qui"),1,0))</f>
      </c>
      <c r="BE8" s="12" t="str">
        <f>=IF(J8="","",IF(OR(J8="T.Parcial",J8="T.Complet"),1,0))</f>
      </c>
      <c r="BF8" s="12" t="str">
        <f>=IF(C8="","",C8)</f>
      </c>
      <c r="BG8" s="12" t="str">
        <f>=IF(D8="","",D8)</f>
      </c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Q9" s="12" t="str">
        <f>=IFERROR((IF(R9="",0,0.867*R9)+IF(S9="",0,0.854*S9)+IF(T9="",0,0.702*T9)+IF(U9="",0,0.561*U9)+IF(V9="",0,0.485*V9))/(IF(R9="",0,0.867)+IF(S9="",0,0.854)+IF(T9="",0,0.702)+IF(U9="",0,0.561)+IF(V9="",0,0.485)),"")</f>
      </c>
      <c r="AR9" s="12" t="str">
        <f>=IFERROR((IF(W9="",0,0.83*W9)+IF(X9="",0,0.739*X9)+IF(Y9="",0,0.607*Y9)+IF(Z9="",0,0.368*Z9)+IF(AA9="",0,0.335*AA9))/(IF(W9="",0,0.83)+IF(X9="",0,0.739)+IF(Y9="",0,0.607)+IF(Z9="",0,0.368)+IF(AA9="",0,0.335)),"")</f>
      </c>
      <c r="AS9" s="12" t="str">
        <f>=IFERROR((IF(AB9="",0,0.957*AB9)+IF(AC9="",0,0.84*AC9)+IF(AD9="",0,0.662*AD9))/(IF(AB9="",0,0.957)+IF(AC9="",0,0.84)+IF(AD9="",0,0.662)),"")</f>
      </c>
      <c r="AT9" s="12" t="str">
        <f>=IFERROR((IF(AE9="",0,0.985*AE9)+IF(AF9="",0,0.799*AF9)+IF(AG9="",0,0.782*AG9)+IF(AH9="",0,0.588*AH9))/(IF(AE9="",0,0.985)+IF(AF9="",0,0.799)+IF(AG9="",0,0.782)+IF(AH9="",0,0.588)),"")</f>
      </c>
      <c r="AU9" s="12" t="str">
        <f>=IFERROR((IF(AI9="",0,0.91*AI9)+IF(AJ9="",0,0.72*AJ9)+IF(AK9="",0,0.627*AK9)+IF(AL9="",0,0.385*AL9))/(IF(AI9="",0,0.91)+IF(AJ9="",0,0.72)+IF(AK9="",0,0.627)+IF(AL9="",0,0.385)),"")</f>
      </c>
      <c r="AV9" s="12" t="str">
        <f>=IFERROR((IF(AM9="",0,0.813*AM9)+IF(AN9="",0,0.665*AN9))/(IF(AM9="",0,0.813)+IF(AN9="",0,0.665)),"")</f>
      </c>
      <c r="AW9" s="12" t="str">
        <f>=IFERROR((IF(AO9="",0,0.863*AO9))/(IF(AO9="",0,0.863)),"")</f>
      </c>
      <c r="AX9" s="12" t="str">
        <f>=IFERROR((IF(L9="",0,0.903*L9)+IF(K9="",0,0.88*K9)+IF(N9="",0,0.762*N9)+IF(M9="",0,0.74*M9))/(IF(L9="",0,0.903)+IF(K9="",0,0.88)+IF(N9="",0,0.762)+IF(M9="",0,0.74)),"")</f>
      </c>
      <c r="AY9" s="12" t="str">
        <f>=IF(O9="","",O9</f>
      </c>
      <c r="AZ9" s="12" t="str">
        <f>=IF(F9="","",IF(F9="Continuada",1,0))</f>
      </c>
      <c r="BA9" s="12" t="str">
        <f>=IF(G9="","",IF(G9="1r",1,0))</f>
      </c>
      <c r="BB9" s="12" t="str">
        <f>=IF(B9="","",B9)</f>
      </c>
      <c r="BC9" s="12" t="str">
        <f>=IF(E9="","",E9)</f>
      </c>
      <c r="BD9" s="12" t="str">
        <f>=IF(I9="","",IF(OR(I9="Estadística",I9="Doble Eco+Est",I9="Doble ADE+Soc",I9="Doble ADE+Mat",I9="Doble ADE+Dret",I9="Doble ADE+Qui"),1,0))</f>
      </c>
      <c r="BE9" s="12" t="str">
        <f>=IF(J9="","",IF(OR(J9="T.Parcial",J9="T.Complet"),1,0))</f>
      </c>
      <c r="BF9" s="12" t="str">
        <f>=IF(C9="","",C9)</f>
      </c>
      <c r="BG9" s="12" t="str">
        <f>=IF(D9="","",D9)</f>
      </c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Q10" s="12" t="str">
        <f>=IFERROR((IF(R10="",0,0.867*R10)+IF(S10="",0,0.854*S10)+IF(T10="",0,0.702*T10)+IF(U10="",0,0.561*U10)+IF(V10="",0,0.485*V10))/(IF(R10="",0,0.867)+IF(S10="",0,0.854)+IF(T10="",0,0.702)+IF(U10="",0,0.561)+IF(V10="",0,0.485)),"")</f>
      </c>
      <c r="AR10" s="12" t="str">
        <f>=IFERROR((IF(W10="",0,0.83*W10)+IF(X10="",0,0.739*X10)+IF(Y10="",0,0.607*Y10)+IF(Z10="",0,0.368*Z10)+IF(AA10="",0,0.335*AA10))/(IF(W10="",0,0.83)+IF(X10="",0,0.739)+IF(Y10="",0,0.607)+IF(Z10="",0,0.368)+IF(AA10="",0,0.335)),"")</f>
      </c>
      <c r="AS10" s="12" t="str">
        <f>=IFERROR((IF(AB10="",0,0.957*AB10)+IF(AC10="",0,0.84*AC10)+IF(AD10="",0,0.662*AD10))/(IF(AB10="",0,0.957)+IF(AC10="",0,0.84)+IF(AD10="",0,0.662)),"")</f>
      </c>
      <c r="AT10" s="12" t="str">
        <f>=IFERROR((IF(AE10="",0,0.985*AE10)+IF(AF10="",0,0.799*AF10)+IF(AG10="",0,0.782*AG10)+IF(AH10="",0,0.588*AH10))/(IF(AE10="",0,0.985)+IF(AF10="",0,0.799)+IF(AG10="",0,0.782)+IF(AH10="",0,0.588)),"")</f>
      </c>
      <c r="AU10" s="12" t="str">
        <f>=IFERROR((IF(AI10="",0,0.91*AI10)+IF(AJ10="",0,0.72*AJ10)+IF(AK10="",0,0.627*AK10)+IF(AL10="",0,0.385*AL10))/(IF(AI10="",0,0.91)+IF(AJ10="",0,0.72)+IF(AK10="",0,0.627)+IF(AL10="",0,0.385)),"")</f>
      </c>
      <c r="AV10" s="12" t="str">
        <f>=IFERROR((IF(AM10="",0,0.813*AM10)+IF(AN10="",0,0.665*AN10))/(IF(AM10="",0,0.813)+IF(AN10="",0,0.665)),"")</f>
      </c>
      <c r="AW10" s="12" t="str">
        <f>=IFERROR((IF(AO10="",0,0.863*AO10))/(IF(AO10="",0,0.863)),"")</f>
      </c>
      <c r="AX10" s="12" t="str">
        <f>=IFERROR((IF(L10="",0,0.903*L10)+IF(K10="",0,0.88*K10)+IF(N10="",0,0.762*N10)+IF(M10="",0,0.74*M10))/(IF(L10="",0,0.903)+IF(K10="",0,0.88)+IF(N10="",0,0.762)+IF(M10="",0,0.74)),"")</f>
      </c>
      <c r="AY10" s="12" t="str">
        <f>=IF(O10="","",O10</f>
      </c>
      <c r="AZ10" s="12" t="str">
        <f>=IF(F10="","",IF(F10="Continuada",1,0))</f>
      </c>
      <c r="BA10" s="12" t="str">
        <f>=IF(G10="","",IF(G10="1r",1,0))</f>
      </c>
      <c r="BB10" s="12" t="str">
        <f>=IF(B10="","",B10)</f>
      </c>
      <c r="BC10" s="12" t="str">
        <f>=IF(E10="","",E10)</f>
      </c>
      <c r="BD10" s="12" t="str">
        <f>=IF(I10="","",IF(OR(I10="Estadística",I10="Doble Eco+Est",I10="Doble ADE+Soc",I10="Doble ADE+Mat",I10="Doble ADE+Dret",I10="Doble ADE+Qui"),1,0))</f>
      </c>
      <c r="BE10" s="12" t="str">
        <f>=IF(J10="","",IF(OR(J10="T.Parcial",J10="T.Complet"),1,0))</f>
      </c>
      <c r="BF10" s="12" t="str">
        <f>=IF(C10="","",C10)</f>
      </c>
      <c r="BG10" s="12" t="str">
        <f>=IF(D10="","",D10)</f>
      </c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Q11" s="12" t="str">
        <f>=IFERROR((IF(R11="",0,0.867*R11)+IF(S11="",0,0.854*S11)+IF(T11="",0,0.702*T11)+IF(U11="",0,0.561*U11)+IF(V11="",0,0.485*V11))/(IF(R11="",0,0.867)+IF(S11="",0,0.854)+IF(T11="",0,0.702)+IF(U11="",0,0.561)+IF(V11="",0,0.485)),"")</f>
      </c>
      <c r="AR11" s="12" t="str">
        <f>=IFERROR((IF(W11="",0,0.83*W11)+IF(X11="",0,0.739*X11)+IF(Y11="",0,0.607*Y11)+IF(Z11="",0,0.368*Z11)+IF(AA11="",0,0.335*AA11))/(IF(W11="",0,0.83)+IF(X11="",0,0.739)+IF(Y11="",0,0.607)+IF(Z11="",0,0.368)+IF(AA11="",0,0.335)),"")</f>
      </c>
      <c r="AS11" s="12" t="str">
        <f>=IFERROR((IF(AB11="",0,0.957*AB11)+IF(AC11="",0,0.84*AC11)+IF(AD11="",0,0.662*AD11))/(IF(AB11="",0,0.957)+IF(AC11="",0,0.84)+IF(AD11="",0,0.662)),"")</f>
      </c>
      <c r="AT11" s="12" t="str">
        <f>=IFERROR((IF(AE11="",0,0.985*AE11)+IF(AF11="",0,0.799*AF11)+IF(AG11="",0,0.782*AG11)+IF(AH11="",0,0.588*AH11))/(IF(AE11="",0,0.985)+IF(AF11="",0,0.799)+IF(AG11="",0,0.782)+IF(AH11="",0,0.588)),"")</f>
      </c>
      <c r="AU11" s="12" t="str">
        <f>=IFERROR((IF(AI11="",0,0.91*AI11)+IF(AJ11="",0,0.72*AJ11)+IF(AK11="",0,0.627*AK11)+IF(AL11="",0,0.385*AL11))/(IF(AI11="",0,0.91)+IF(AJ11="",0,0.72)+IF(AK11="",0,0.627)+IF(AL11="",0,0.385)),"")</f>
      </c>
      <c r="AV11" s="12" t="str">
        <f>=IFERROR((IF(AM11="",0,0.813*AM11)+IF(AN11="",0,0.665*AN11))/(IF(AM11="",0,0.813)+IF(AN11="",0,0.665)),"")</f>
      </c>
      <c r="AW11" s="12" t="str">
        <f>=IFERROR((IF(AO11="",0,0.863*AO11))/(IF(AO11="",0,0.863)),"")</f>
      </c>
      <c r="AX11" s="12" t="str">
        <f>=IFERROR((IF(L11="",0,0.903*L11)+IF(K11="",0,0.88*K11)+IF(N11="",0,0.762*N11)+IF(M11="",0,0.74*M11))/(IF(L11="",0,0.903)+IF(K11="",0,0.88)+IF(N11="",0,0.762)+IF(M11="",0,0.74)),"")</f>
      </c>
      <c r="AY11" s="12" t="str">
        <f>=IF(O11="","",O11</f>
      </c>
      <c r="AZ11" s="12" t="str">
        <f>=IF(F11="","",IF(F11="Continuada",1,0))</f>
      </c>
      <c r="BA11" s="12" t="str">
        <f>=IF(G11="","",IF(G11="1r",1,0))</f>
      </c>
      <c r="BB11" s="12" t="str">
        <f>=IF(B11="","",B11)</f>
      </c>
      <c r="BC11" s="12" t="str">
        <f>=IF(E11="","",E11)</f>
      </c>
      <c r="BD11" s="12" t="str">
        <f>=IF(I11="","",IF(OR(I11="Estadística",I11="Doble Eco+Est",I11="Doble ADE+Soc",I11="Doble ADE+Mat",I11="Doble ADE+Dret",I11="Doble ADE+Qui"),1,0))</f>
      </c>
      <c r="BE11" s="12" t="str">
        <f>=IF(J11="","",IF(OR(J11="T.Parcial",J11="T.Complet"),1,0))</f>
      </c>
      <c r="BF11" s="12" t="str">
        <f>=IF(C11="","",C11)</f>
      </c>
      <c r="BG11" s="12" t="str">
        <f>=IF(D11="","",D11)</f>
      </c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Q12" s="12" t="str">
        <f>=IFERROR((IF(R12="",0,0.867*R12)+IF(S12="",0,0.854*S12)+IF(T12="",0,0.702*T12)+IF(U12="",0,0.561*U12)+IF(V12="",0,0.485*V12))/(IF(R12="",0,0.867)+IF(S12="",0,0.854)+IF(T12="",0,0.702)+IF(U12="",0,0.561)+IF(V12="",0,0.485)),"")</f>
      </c>
      <c r="AR12" s="12" t="str">
        <f>=IFERROR((IF(W12="",0,0.83*W12)+IF(X12="",0,0.739*X12)+IF(Y12="",0,0.607*Y12)+IF(Z12="",0,0.368*Z12)+IF(AA12="",0,0.335*AA12))/(IF(W12="",0,0.83)+IF(X12="",0,0.739)+IF(Y12="",0,0.607)+IF(Z12="",0,0.368)+IF(AA12="",0,0.335)),"")</f>
      </c>
      <c r="AS12" s="12" t="str">
        <f>=IFERROR((IF(AB12="",0,0.957*AB12)+IF(AC12="",0,0.84*AC12)+IF(AD12="",0,0.662*AD12))/(IF(AB12="",0,0.957)+IF(AC12="",0,0.84)+IF(AD12="",0,0.662)),"")</f>
      </c>
      <c r="AT12" s="12" t="str">
        <f>=IFERROR((IF(AE12="",0,0.985*AE12)+IF(AF12="",0,0.799*AF12)+IF(AG12="",0,0.782*AG12)+IF(AH12="",0,0.588*AH12))/(IF(AE12="",0,0.985)+IF(AF12="",0,0.799)+IF(AG12="",0,0.782)+IF(AH12="",0,0.588)),"")</f>
      </c>
      <c r="AU12" s="12" t="str">
        <f>=IFERROR((IF(AI12="",0,0.91*AI12)+IF(AJ12="",0,0.72*AJ12)+IF(AK12="",0,0.627*AK12)+IF(AL12="",0,0.385*AL12))/(IF(AI12="",0,0.91)+IF(AJ12="",0,0.72)+IF(AK12="",0,0.627)+IF(AL12="",0,0.385)),"")</f>
      </c>
      <c r="AV12" s="12" t="str">
        <f>=IFERROR((IF(AM12="",0,0.813*AM12)+IF(AN12="",0,0.665*AN12))/(IF(AM12="",0,0.813)+IF(AN12="",0,0.665)),"")</f>
      </c>
      <c r="AW12" s="12" t="str">
        <f>=IFERROR((IF(AO12="",0,0.863*AO12))/(IF(AO12="",0,0.863)),"")</f>
      </c>
      <c r="AX12" s="12" t="str">
        <f>=IFERROR((IF(L12="",0,0.903*L12)+IF(K12="",0,0.88*K12)+IF(N12="",0,0.762*N12)+IF(M12="",0,0.74*M12))/(IF(L12="",0,0.903)+IF(K12="",0,0.88)+IF(N12="",0,0.762)+IF(M12="",0,0.74)),"")</f>
      </c>
      <c r="AY12" s="12" t="str">
        <f>=IF(O12="","",O12</f>
      </c>
      <c r="AZ12" s="12" t="str">
        <f>=IF(F12="","",IF(F12="Continuada",1,0))</f>
      </c>
      <c r="BA12" s="12" t="str">
        <f>=IF(G12="","",IF(G12="1r",1,0))</f>
      </c>
      <c r="BB12" s="12" t="str">
        <f>=IF(B12="","",B12)</f>
      </c>
      <c r="BC12" s="12" t="str">
        <f>=IF(E12="","",E12)</f>
      </c>
      <c r="BD12" s="12" t="str">
        <f>=IF(I12="","",IF(OR(I12="Estadística",I12="Doble Eco+Est",I12="Doble ADE+Soc",I12="Doble ADE+Mat",I12="Doble ADE+Dret",I12="Doble ADE+Qui"),1,0))</f>
      </c>
      <c r="BE12" s="12" t="str">
        <f>=IF(J12="","",IF(OR(J12="T.Parcial",J12="T.Complet"),1,0))</f>
      </c>
      <c r="BF12" s="12" t="str">
        <f>=IF(C12="","",C12)</f>
      </c>
      <c r="BG12" s="12" t="str">
        <f>=IF(D12="","",D12)</f>
      </c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Q13" s="12" t="str">
        <f>=IFERROR((IF(R13="",0,0.867*R13)+IF(S13="",0,0.854*S13)+IF(T13="",0,0.702*T13)+IF(U13="",0,0.561*U13)+IF(V13="",0,0.485*V13))/(IF(R13="",0,0.867)+IF(S13="",0,0.854)+IF(T13="",0,0.702)+IF(U13="",0,0.561)+IF(V13="",0,0.485)),"")</f>
      </c>
      <c r="AR13" s="12" t="str">
        <f>=IFERROR((IF(W13="",0,0.83*W13)+IF(X13="",0,0.739*X13)+IF(Y13="",0,0.607*Y13)+IF(Z13="",0,0.368*Z13)+IF(AA13="",0,0.335*AA13))/(IF(W13="",0,0.83)+IF(X13="",0,0.739)+IF(Y13="",0,0.607)+IF(Z13="",0,0.368)+IF(AA13="",0,0.335)),"")</f>
      </c>
      <c r="AS13" s="12" t="str">
        <f>=IFERROR((IF(AB13="",0,0.957*AB13)+IF(AC13="",0,0.84*AC13)+IF(AD13="",0,0.662*AD13))/(IF(AB13="",0,0.957)+IF(AC13="",0,0.84)+IF(AD13="",0,0.662)),"")</f>
      </c>
      <c r="AT13" s="12" t="str">
        <f>=IFERROR((IF(AE13="",0,0.985*AE13)+IF(AF13="",0,0.799*AF13)+IF(AG13="",0,0.782*AG13)+IF(AH13="",0,0.588*AH13))/(IF(AE13="",0,0.985)+IF(AF13="",0,0.799)+IF(AG13="",0,0.782)+IF(AH13="",0,0.588)),"")</f>
      </c>
      <c r="AU13" s="12" t="str">
        <f>=IFERROR((IF(AI13="",0,0.91*AI13)+IF(AJ13="",0,0.72*AJ13)+IF(AK13="",0,0.627*AK13)+IF(AL13="",0,0.385*AL13))/(IF(AI13="",0,0.91)+IF(AJ13="",0,0.72)+IF(AK13="",0,0.627)+IF(AL13="",0,0.385)),"")</f>
      </c>
      <c r="AV13" s="12" t="str">
        <f>=IFERROR((IF(AM13="",0,0.813*AM13)+IF(AN13="",0,0.665*AN13))/(IF(AM13="",0,0.813)+IF(AN13="",0,0.665)),"")</f>
      </c>
      <c r="AW13" s="12" t="str">
        <f>=IFERROR((IF(AO13="",0,0.863*AO13))/(IF(AO13="",0,0.863)),"")</f>
      </c>
      <c r="AX13" s="12" t="str">
        <f>=IFERROR((IF(L13="",0,0.903*L13)+IF(K13="",0,0.88*K13)+IF(N13="",0,0.762*N13)+IF(M13="",0,0.74*M13))/(IF(L13="",0,0.903)+IF(K13="",0,0.88)+IF(N13="",0,0.762)+IF(M13="",0,0.74)),"")</f>
      </c>
      <c r="AY13" s="12" t="str">
        <f>=IF(O13="","",O13</f>
      </c>
      <c r="AZ13" s="12" t="str">
        <f>=IF(F13="","",IF(F13="Continuada",1,0))</f>
      </c>
      <c r="BA13" s="12" t="str">
        <f>=IF(G13="","",IF(G13="1r",1,0))</f>
      </c>
      <c r="BB13" s="12" t="str">
        <f>=IF(B13="","",B13)</f>
      </c>
      <c r="BC13" s="12" t="str">
        <f>=IF(E13="","",E13)</f>
      </c>
      <c r="BD13" s="12" t="str">
        <f>=IF(I13="","",IF(OR(I13="Estadística",I13="Doble Eco+Est",I13="Doble ADE+Soc",I13="Doble ADE+Mat",I13="Doble ADE+Dret",I13="Doble ADE+Qui"),1,0))</f>
      </c>
      <c r="BE13" s="12" t="str">
        <f>=IF(J13="","",IF(OR(J13="T.Parcial",J13="T.Complet"),1,0))</f>
      </c>
      <c r="BF13" s="12" t="str">
        <f>=IF(C13="","",C13)</f>
      </c>
      <c r="BG13" s="12" t="str">
        <f>=IF(D13="","",D13)</f>
      </c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Q14" s="12" t="str">
        <f>=IFERROR((IF(R14="",0,0.867*R14)+IF(S14="",0,0.854*S14)+IF(T14="",0,0.702*T14)+IF(U14="",0,0.561*U14)+IF(V14="",0,0.485*V14))/(IF(R14="",0,0.867)+IF(S14="",0,0.854)+IF(T14="",0,0.702)+IF(U14="",0,0.561)+IF(V14="",0,0.485)),"")</f>
      </c>
      <c r="AR14" s="12" t="str">
        <f>=IFERROR((IF(W14="",0,0.83*W14)+IF(X14="",0,0.739*X14)+IF(Y14="",0,0.607*Y14)+IF(Z14="",0,0.368*Z14)+IF(AA14="",0,0.335*AA14))/(IF(W14="",0,0.83)+IF(X14="",0,0.739)+IF(Y14="",0,0.607)+IF(Z14="",0,0.368)+IF(AA14="",0,0.335)),"")</f>
      </c>
      <c r="AS14" s="12" t="str">
        <f>=IFERROR((IF(AB14="",0,0.957*AB14)+IF(AC14="",0,0.84*AC14)+IF(AD14="",0,0.662*AD14))/(IF(AB14="",0,0.957)+IF(AC14="",0,0.84)+IF(AD14="",0,0.662)),"")</f>
      </c>
      <c r="AT14" s="12" t="str">
        <f>=IFERROR((IF(AE14="",0,0.985*AE14)+IF(AF14="",0,0.799*AF14)+IF(AG14="",0,0.782*AG14)+IF(AH14="",0,0.588*AH14))/(IF(AE14="",0,0.985)+IF(AF14="",0,0.799)+IF(AG14="",0,0.782)+IF(AH14="",0,0.588)),"")</f>
      </c>
      <c r="AU14" s="12" t="str">
        <f>=IFERROR((IF(AI14="",0,0.91*AI14)+IF(AJ14="",0,0.72*AJ14)+IF(AK14="",0,0.627*AK14)+IF(AL14="",0,0.385*AL14))/(IF(AI14="",0,0.91)+IF(AJ14="",0,0.72)+IF(AK14="",0,0.627)+IF(AL14="",0,0.385)),"")</f>
      </c>
      <c r="AV14" s="12" t="str">
        <f>=IFERROR((IF(AM14="",0,0.813*AM14)+IF(AN14="",0,0.665*AN14))/(IF(AM14="",0,0.813)+IF(AN14="",0,0.665)),"")</f>
      </c>
      <c r="AW14" s="12" t="str">
        <f>=IFERROR((IF(AO14="",0,0.863*AO14))/(IF(AO14="",0,0.863)),"")</f>
      </c>
      <c r="AX14" s="12" t="str">
        <f>=IFERROR((IF(L14="",0,0.903*L14)+IF(K14="",0,0.88*K14)+IF(N14="",0,0.762*N14)+IF(M14="",0,0.74*M14))/(IF(L14="",0,0.903)+IF(K14="",0,0.88)+IF(N14="",0,0.762)+IF(M14="",0,0.74)),"")</f>
      </c>
      <c r="AY14" s="12" t="str">
        <f>=IF(O14="","",O14</f>
      </c>
      <c r="AZ14" s="12" t="str">
        <f>=IF(F14="","",IF(F14="Continuada",1,0))</f>
      </c>
      <c r="BA14" s="12" t="str">
        <f>=IF(G14="","",IF(G14="1r",1,0))</f>
      </c>
      <c r="BB14" s="12" t="str">
        <f>=IF(B14="","",B14)</f>
      </c>
      <c r="BC14" s="12" t="str">
        <f>=IF(E14="","",E14)</f>
      </c>
      <c r="BD14" s="12" t="str">
        <f>=IF(I14="","",IF(OR(I14="Estadística",I14="Doble Eco+Est",I14="Doble ADE+Soc",I14="Doble ADE+Mat",I14="Doble ADE+Dret",I14="Doble ADE+Qui"),1,0))</f>
      </c>
      <c r="BE14" s="12" t="str">
        <f>=IF(J14="","",IF(OR(J14="T.Parcial",J14="T.Complet"),1,0))</f>
      </c>
      <c r="BF14" s="12" t="str">
        <f>=IF(C14="","",C14)</f>
      </c>
      <c r="BG14" s="12" t="str">
        <f>=IF(D14="","",D14)</f>
      </c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Q15" s="12" t="str">
        <f>=IFERROR((IF(R15="",0,0.867*R15)+IF(S15="",0,0.854*S15)+IF(T15="",0,0.702*T15)+IF(U15="",0,0.561*U15)+IF(V15="",0,0.485*V15))/(IF(R15="",0,0.867)+IF(S15="",0,0.854)+IF(T15="",0,0.702)+IF(U15="",0,0.561)+IF(V15="",0,0.485)),"")</f>
      </c>
      <c r="AR15" s="12" t="str">
        <f>=IFERROR((IF(W15="",0,0.83*W15)+IF(X15="",0,0.739*X15)+IF(Y15="",0,0.607*Y15)+IF(Z15="",0,0.368*Z15)+IF(AA15="",0,0.335*AA15))/(IF(W15="",0,0.83)+IF(X15="",0,0.739)+IF(Y15="",0,0.607)+IF(Z15="",0,0.368)+IF(AA15="",0,0.335)),"")</f>
      </c>
      <c r="AS15" s="12" t="str">
        <f>=IFERROR((IF(AB15="",0,0.957*AB15)+IF(AC15="",0,0.84*AC15)+IF(AD15="",0,0.662*AD15))/(IF(AB15="",0,0.957)+IF(AC15="",0,0.84)+IF(AD15="",0,0.662)),"")</f>
      </c>
      <c r="AT15" s="12" t="str">
        <f>=IFERROR((IF(AE15="",0,0.985*AE15)+IF(AF15="",0,0.799*AF15)+IF(AG15="",0,0.782*AG15)+IF(AH15="",0,0.588*AH15))/(IF(AE15="",0,0.985)+IF(AF15="",0,0.799)+IF(AG15="",0,0.782)+IF(AH15="",0,0.588)),"")</f>
      </c>
      <c r="AU15" s="12" t="str">
        <f>=IFERROR((IF(AI15="",0,0.91*AI15)+IF(AJ15="",0,0.72*AJ15)+IF(AK15="",0,0.627*AK15)+IF(AL15="",0,0.385*AL15))/(IF(AI15="",0,0.91)+IF(AJ15="",0,0.72)+IF(AK15="",0,0.627)+IF(AL15="",0,0.385)),"")</f>
      </c>
      <c r="AV15" s="12" t="str">
        <f>=IFERROR((IF(AM15="",0,0.813*AM15)+IF(AN15="",0,0.665*AN15))/(IF(AM15="",0,0.813)+IF(AN15="",0,0.665)),"")</f>
      </c>
      <c r="AW15" s="12" t="str">
        <f>=IFERROR((IF(AO15="",0,0.863*AO15))/(IF(AO15="",0,0.863)),"")</f>
      </c>
      <c r="AX15" s="12" t="str">
        <f>=IFERROR((IF(L15="",0,0.903*L15)+IF(K15="",0,0.88*K15)+IF(N15="",0,0.762*N15)+IF(M15="",0,0.74*M15))/(IF(L15="",0,0.903)+IF(K15="",0,0.88)+IF(N15="",0,0.762)+IF(M15="",0,0.74)),"")</f>
      </c>
      <c r="AY15" s="12" t="str">
        <f>=IF(O15="","",O15</f>
      </c>
      <c r="AZ15" s="12" t="str">
        <f>=IF(F15="","",IF(F15="Continuada",1,0))</f>
      </c>
      <c r="BA15" s="12" t="str">
        <f>=IF(G15="","",IF(G15="1r",1,0))</f>
      </c>
      <c r="BB15" s="12" t="str">
        <f>=IF(B15="","",B15)</f>
      </c>
      <c r="BC15" s="12" t="str">
        <f>=IF(E15="","",E15)</f>
      </c>
      <c r="BD15" s="12" t="str">
        <f>=IF(I15="","",IF(OR(I15="Estadística",I15="Doble Eco+Est",I15="Doble ADE+Soc",I15="Doble ADE+Mat",I15="Doble ADE+Dret",I15="Doble ADE+Qui"),1,0))</f>
      </c>
      <c r="BE15" s="12" t="str">
        <f>=IF(J15="","",IF(OR(J15="T.Parcial",J15="T.Complet"),1,0))</f>
      </c>
      <c r="BF15" s="12" t="str">
        <f>=IF(C15="","",C15)</f>
      </c>
      <c r="BG15" s="12" t="str">
        <f>=IF(D15="","",D15)</f>
      </c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Q16" s="12" t="str">
        <f>=IFERROR((IF(R16="",0,0.867*R16)+IF(S16="",0,0.854*S16)+IF(T16="",0,0.702*T16)+IF(U16="",0,0.561*U16)+IF(V16="",0,0.485*V16))/(IF(R16="",0,0.867)+IF(S16="",0,0.854)+IF(T16="",0,0.702)+IF(U16="",0,0.561)+IF(V16="",0,0.485)),"")</f>
      </c>
      <c r="AR16" s="12" t="str">
        <f>=IFERROR((IF(W16="",0,0.83*W16)+IF(X16="",0,0.739*X16)+IF(Y16="",0,0.607*Y16)+IF(Z16="",0,0.368*Z16)+IF(AA16="",0,0.335*AA16))/(IF(W16="",0,0.83)+IF(X16="",0,0.739)+IF(Y16="",0,0.607)+IF(Z16="",0,0.368)+IF(AA16="",0,0.335)),"")</f>
      </c>
      <c r="AS16" s="12" t="str">
        <f>=IFERROR((IF(AB16="",0,0.957*AB16)+IF(AC16="",0,0.84*AC16)+IF(AD16="",0,0.662*AD16))/(IF(AB16="",0,0.957)+IF(AC16="",0,0.84)+IF(AD16="",0,0.662)),"")</f>
      </c>
      <c r="AT16" s="12" t="str">
        <f>=IFERROR((IF(AE16="",0,0.985*AE16)+IF(AF16="",0,0.799*AF16)+IF(AG16="",0,0.782*AG16)+IF(AH16="",0,0.588*AH16))/(IF(AE16="",0,0.985)+IF(AF16="",0,0.799)+IF(AG16="",0,0.782)+IF(AH16="",0,0.588)),"")</f>
      </c>
      <c r="AU16" s="12" t="str">
        <f>=IFERROR((IF(AI16="",0,0.91*AI16)+IF(AJ16="",0,0.72*AJ16)+IF(AK16="",0,0.627*AK16)+IF(AL16="",0,0.385*AL16))/(IF(AI16="",0,0.91)+IF(AJ16="",0,0.72)+IF(AK16="",0,0.627)+IF(AL16="",0,0.385)),"")</f>
      </c>
      <c r="AV16" s="12" t="str">
        <f>=IFERROR((IF(AM16="",0,0.813*AM16)+IF(AN16="",0,0.665*AN16))/(IF(AM16="",0,0.813)+IF(AN16="",0,0.665)),"")</f>
      </c>
      <c r="AW16" s="12" t="str">
        <f>=IFERROR((IF(AO16="",0,0.863*AO16))/(IF(AO16="",0,0.863)),"")</f>
      </c>
      <c r="AX16" s="12" t="str">
        <f>=IFERROR((IF(L16="",0,0.903*L16)+IF(K16="",0,0.88*K16)+IF(N16="",0,0.762*N16)+IF(M16="",0,0.74*M16))/(IF(L16="",0,0.903)+IF(K16="",0,0.88)+IF(N16="",0,0.762)+IF(M16="",0,0.74)),"")</f>
      </c>
      <c r="AY16" s="12" t="str">
        <f>=IF(O16="","",O16</f>
      </c>
      <c r="AZ16" s="12" t="str">
        <f>=IF(F16="","",IF(F16="Continuada",1,0))</f>
      </c>
      <c r="BA16" s="12" t="str">
        <f>=IF(G16="","",IF(G16="1r",1,0))</f>
      </c>
      <c r="BB16" s="12" t="str">
        <f>=IF(B16="","",B16)</f>
      </c>
      <c r="BC16" s="12" t="str">
        <f>=IF(E16="","",E16)</f>
      </c>
      <c r="BD16" s="12" t="str">
        <f>=IF(I16="","",IF(OR(I16="Estadística",I16="Doble Eco+Est",I16="Doble ADE+Soc",I16="Doble ADE+Mat",I16="Doble ADE+Dret",I16="Doble ADE+Qui"),1,0))</f>
      </c>
      <c r="BE16" s="12" t="str">
        <f>=IF(J16="","",IF(OR(J16="T.Parcial",J16="T.Complet"),1,0))</f>
      </c>
      <c r="BF16" s="12" t="str">
        <f>=IF(C16="","",C16)</f>
      </c>
      <c r="BG16" s="12" t="str">
        <f>=IF(D16="","",D16)</f>
      </c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Q17" s="12" t="str">
        <f>=IFERROR((IF(R17="",0,0.867*R17)+IF(S17="",0,0.854*S17)+IF(T17="",0,0.702*T17)+IF(U17="",0,0.561*U17)+IF(V17="",0,0.485*V17))/(IF(R17="",0,0.867)+IF(S17="",0,0.854)+IF(T17="",0,0.702)+IF(U17="",0,0.561)+IF(V17="",0,0.485)),"")</f>
      </c>
      <c r="AR17" s="12" t="str">
        <f>=IFERROR((IF(W17="",0,0.83*W17)+IF(X17="",0,0.739*X17)+IF(Y17="",0,0.607*Y17)+IF(Z17="",0,0.368*Z17)+IF(AA17="",0,0.335*AA17))/(IF(W17="",0,0.83)+IF(X17="",0,0.739)+IF(Y17="",0,0.607)+IF(Z17="",0,0.368)+IF(AA17="",0,0.335)),"")</f>
      </c>
      <c r="AS17" s="12" t="str">
        <f>=IFERROR((IF(AB17="",0,0.957*AB17)+IF(AC17="",0,0.84*AC17)+IF(AD17="",0,0.662*AD17))/(IF(AB17="",0,0.957)+IF(AC17="",0,0.84)+IF(AD17="",0,0.662)),"")</f>
      </c>
      <c r="AT17" s="12" t="str">
        <f>=IFERROR((IF(AE17="",0,0.985*AE17)+IF(AF17="",0,0.799*AF17)+IF(AG17="",0,0.782*AG17)+IF(AH17="",0,0.588*AH17))/(IF(AE17="",0,0.985)+IF(AF17="",0,0.799)+IF(AG17="",0,0.782)+IF(AH17="",0,0.588)),"")</f>
      </c>
      <c r="AU17" s="12" t="str">
        <f>=IFERROR((IF(AI17="",0,0.91*AI17)+IF(AJ17="",0,0.72*AJ17)+IF(AK17="",0,0.627*AK17)+IF(AL17="",0,0.385*AL17))/(IF(AI17="",0,0.91)+IF(AJ17="",0,0.72)+IF(AK17="",0,0.627)+IF(AL17="",0,0.385)),"")</f>
      </c>
      <c r="AV17" s="12" t="str">
        <f>=IFERROR((IF(AM17="",0,0.813*AM17)+IF(AN17="",0,0.665*AN17))/(IF(AM17="",0,0.813)+IF(AN17="",0,0.665)),"")</f>
      </c>
      <c r="AW17" s="12" t="str">
        <f>=IFERROR((IF(AO17="",0,0.863*AO17))/(IF(AO17="",0,0.863)),"")</f>
      </c>
      <c r="AX17" s="12" t="str">
        <f>=IFERROR((IF(L17="",0,0.903*L17)+IF(K17="",0,0.88*K17)+IF(N17="",0,0.762*N17)+IF(M17="",0,0.74*M17))/(IF(L17="",0,0.903)+IF(K17="",0,0.88)+IF(N17="",0,0.762)+IF(M17="",0,0.74)),"")</f>
      </c>
      <c r="AY17" s="12" t="str">
        <f>=IF(O17="","",O17</f>
      </c>
      <c r="AZ17" s="12" t="str">
        <f>=IF(F17="","",IF(F17="Continuada",1,0))</f>
      </c>
      <c r="BA17" s="12" t="str">
        <f>=IF(G17="","",IF(G17="1r",1,0))</f>
      </c>
      <c r="BB17" s="12" t="str">
        <f>=IF(B17="","",B17)</f>
      </c>
      <c r="BC17" s="12" t="str">
        <f>=IF(E17="","",E17)</f>
      </c>
      <c r="BD17" s="12" t="str">
        <f>=IF(I17="","",IF(OR(I17="Estadística",I17="Doble Eco+Est",I17="Doble ADE+Soc",I17="Doble ADE+Mat",I17="Doble ADE+Dret",I17="Doble ADE+Qui"),1,0))</f>
      </c>
      <c r="BE17" s="12" t="str">
        <f>=IF(J17="","",IF(OR(J17="T.Parcial",J17="T.Complet"),1,0))</f>
      </c>
      <c r="BF17" s="12" t="str">
        <f>=IF(C17="","",C17)</f>
      </c>
      <c r="BG17" s="12" t="str">
        <f>=IF(D17="","",D17)</f>
      </c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Q18" s="12" t="str">
        <f>=IFERROR((IF(R18="",0,0.867*R18)+IF(S18="",0,0.854*S18)+IF(T18="",0,0.702*T18)+IF(U18="",0,0.561*U18)+IF(V18="",0,0.485*V18))/(IF(R18="",0,0.867)+IF(S18="",0,0.854)+IF(T18="",0,0.702)+IF(U18="",0,0.561)+IF(V18="",0,0.485)),"")</f>
      </c>
      <c r="AR18" s="12" t="str">
        <f>=IFERROR((IF(W18="",0,0.83*W18)+IF(X18="",0,0.739*X18)+IF(Y18="",0,0.607*Y18)+IF(Z18="",0,0.368*Z18)+IF(AA18="",0,0.335*AA18))/(IF(W18="",0,0.83)+IF(X18="",0,0.739)+IF(Y18="",0,0.607)+IF(Z18="",0,0.368)+IF(AA18="",0,0.335)),"")</f>
      </c>
      <c r="AS18" s="12" t="str">
        <f>=IFERROR((IF(AB18="",0,0.957*AB18)+IF(AC18="",0,0.84*AC18)+IF(AD18="",0,0.662*AD18))/(IF(AB18="",0,0.957)+IF(AC18="",0,0.84)+IF(AD18="",0,0.662)),"")</f>
      </c>
      <c r="AT18" s="12" t="str">
        <f>=IFERROR((IF(AE18="",0,0.985*AE18)+IF(AF18="",0,0.799*AF18)+IF(AG18="",0,0.782*AG18)+IF(AH18="",0,0.588*AH18))/(IF(AE18="",0,0.985)+IF(AF18="",0,0.799)+IF(AG18="",0,0.782)+IF(AH18="",0,0.588)),"")</f>
      </c>
      <c r="AU18" s="12" t="str">
        <f>=IFERROR((IF(AI18="",0,0.91*AI18)+IF(AJ18="",0,0.72*AJ18)+IF(AK18="",0,0.627*AK18)+IF(AL18="",0,0.385*AL18))/(IF(AI18="",0,0.91)+IF(AJ18="",0,0.72)+IF(AK18="",0,0.627)+IF(AL18="",0,0.385)),"")</f>
      </c>
      <c r="AV18" s="12" t="str">
        <f>=IFERROR((IF(AM18="",0,0.813*AM18)+IF(AN18="",0,0.665*AN18))/(IF(AM18="",0,0.813)+IF(AN18="",0,0.665)),"")</f>
      </c>
      <c r="AW18" s="12" t="str">
        <f>=IFERROR((IF(AO18="",0,0.863*AO18))/(IF(AO18="",0,0.863)),"")</f>
      </c>
      <c r="AX18" s="12" t="str">
        <f>=IFERROR((IF(L18="",0,0.903*L18)+IF(K18="",0,0.88*K18)+IF(N18="",0,0.762*N18)+IF(M18="",0,0.74*M18))/(IF(L18="",0,0.903)+IF(K18="",0,0.88)+IF(N18="",0,0.762)+IF(M18="",0,0.74)),"")</f>
      </c>
      <c r="AY18" s="12" t="str">
        <f>=IF(O18="","",O18</f>
      </c>
      <c r="AZ18" s="12" t="str">
        <f>=IF(F18="","",IF(F18="Continuada",1,0))</f>
      </c>
      <c r="BA18" s="12" t="str">
        <f>=IF(G18="","",IF(G18="1r",1,0))</f>
      </c>
      <c r="BB18" s="12" t="str">
        <f>=IF(B18="","",B18)</f>
      </c>
      <c r="BC18" s="12" t="str">
        <f>=IF(E18="","",E18)</f>
      </c>
      <c r="BD18" s="12" t="str">
        <f>=IF(I18="","",IF(OR(I18="Estadística",I18="Doble Eco+Est",I18="Doble ADE+Soc",I18="Doble ADE+Mat",I18="Doble ADE+Dret",I18="Doble ADE+Qui"),1,0))</f>
      </c>
      <c r="BE18" s="12" t="str">
        <f>=IF(J18="","",IF(OR(J18="T.Parcial",J18="T.Complet"),1,0))</f>
      </c>
      <c r="BF18" s="12" t="str">
        <f>=IF(C18="","",C18)</f>
      </c>
      <c r="BG18" s="12" t="str">
        <f>=IF(D18="","",D18)</f>
      </c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Q19" s="12" t="str">
        <f>=IFERROR((IF(R19="",0,0.867*R19)+IF(S19="",0,0.854*S19)+IF(T19="",0,0.702*T19)+IF(U19="",0,0.561*U19)+IF(V19="",0,0.485*V19))/(IF(R19="",0,0.867)+IF(S19="",0,0.854)+IF(T19="",0,0.702)+IF(U19="",0,0.561)+IF(V19="",0,0.485)),"")</f>
      </c>
      <c r="AR19" s="12" t="str">
        <f>=IFERROR((IF(W19="",0,0.83*W19)+IF(X19="",0,0.739*X19)+IF(Y19="",0,0.607*Y19)+IF(Z19="",0,0.368*Z19)+IF(AA19="",0,0.335*AA19))/(IF(W19="",0,0.83)+IF(X19="",0,0.739)+IF(Y19="",0,0.607)+IF(Z19="",0,0.368)+IF(AA19="",0,0.335)),"")</f>
      </c>
      <c r="AS19" s="12" t="str">
        <f>=IFERROR((IF(AB19="",0,0.957*AB19)+IF(AC19="",0,0.84*AC19)+IF(AD19="",0,0.662*AD19))/(IF(AB19="",0,0.957)+IF(AC19="",0,0.84)+IF(AD19="",0,0.662)),"")</f>
      </c>
      <c r="AT19" s="12" t="str">
        <f>=IFERROR((IF(AE19="",0,0.985*AE19)+IF(AF19="",0,0.799*AF19)+IF(AG19="",0,0.782*AG19)+IF(AH19="",0,0.588*AH19))/(IF(AE19="",0,0.985)+IF(AF19="",0,0.799)+IF(AG19="",0,0.782)+IF(AH19="",0,0.588)),"")</f>
      </c>
      <c r="AU19" s="12" t="str">
        <f>=IFERROR((IF(AI19="",0,0.91*AI19)+IF(AJ19="",0,0.72*AJ19)+IF(AK19="",0,0.627*AK19)+IF(AL19="",0,0.385*AL19))/(IF(AI19="",0,0.91)+IF(AJ19="",0,0.72)+IF(AK19="",0,0.627)+IF(AL19="",0,0.385)),"")</f>
      </c>
      <c r="AV19" s="12" t="str">
        <f>=IFERROR((IF(AM19="",0,0.813*AM19)+IF(AN19="",0,0.665*AN19))/(IF(AM19="",0,0.813)+IF(AN19="",0,0.665)),"")</f>
      </c>
      <c r="AW19" s="12" t="str">
        <f>=IFERROR((IF(AO19="",0,0.863*AO19))/(IF(AO19="",0,0.863)),"")</f>
      </c>
      <c r="AX19" s="12" t="str">
        <f>=IFERROR((IF(L19="",0,0.903*L19)+IF(K19="",0,0.88*K19)+IF(N19="",0,0.762*N19)+IF(M19="",0,0.74*M19))/(IF(L19="",0,0.903)+IF(K19="",0,0.88)+IF(N19="",0,0.762)+IF(M19="",0,0.74)),"")</f>
      </c>
      <c r="AY19" s="12" t="str">
        <f>=IF(O19="","",O19</f>
      </c>
      <c r="AZ19" s="12" t="str">
        <f>=IF(F19="","",IF(F19="Continuada",1,0))</f>
      </c>
      <c r="BA19" s="12" t="str">
        <f>=IF(G19="","",IF(G19="1r",1,0))</f>
      </c>
      <c r="BB19" s="12" t="str">
        <f>=IF(B19="","",B19)</f>
      </c>
      <c r="BC19" s="12" t="str">
        <f>=IF(E19="","",E19)</f>
      </c>
      <c r="BD19" s="12" t="str">
        <f>=IF(I19="","",IF(OR(I19="Estadística",I19="Doble Eco+Est",I19="Doble ADE+Soc",I19="Doble ADE+Mat",I19="Doble ADE+Dret",I19="Doble ADE+Qui"),1,0))</f>
      </c>
      <c r="BE19" s="12" t="str">
        <f>=IF(J19="","",IF(OR(J19="T.Parcial",J19="T.Complet"),1,0))</f>
      </c>
      <c r="BF19" s="12" t="str">
        <f>=IF(C19="","",C19)</f>
      </c>
      <c r="BG19" s="12" t="str">
        <f>=IF(D19="","",D19)</f>
      </c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2" t="str">
        <f>=IFERROR((IF(R20="",0,0.867*R20)+IF(S20="",0,0.854*S20)+IF(T20="",0,0.702*T20)+IF(U20="",0,0.561*U20)+IF(V20="",0,0.485*V20))/(IF(R20="",0,0.867)+IF(S20="",0,0.854)+IF(T20="",0,0.702)+IF(U20="",0,0.561)+IF(V20="",0,0.485)),"")</f>
      </c>
      <c r="AR20" s="12" t="str">
        <f>=IFERROR((IF(W20="",0,0.83*W20)+IF(X20="",0,0.739*X20)+IF(Y20="",0,0.607*Y20)+IF(Z20="",0,0.368*Z20)+IF(AA20="",0,0.335*AA20))/(IF(W20="",0,0.83)+IF(X20="",0,0.739)+IF(Y20="",0,0.607)+IF(Z20="",0,0.368)+IF(AA20="",0,0.335)),"")</f>
      </c>
      <c r="AS20" s="12" t="str">
        <f>=IFERROR((IF(AB20="",0,0.957*AB20)+IF(AC20="",0,0.84*AC20)+IF(AD20="",0,0.662*AD20))/(IF(AB20="",0,0.957)+IF(AC20="",0,0.84)+IF(AD20="",0,0.662)),"")</f>
      </c>
      <c r="AT20" s="12" t="str">
        <f>=IFERROR((IF(AE20="",0,0.985*AE20)+IF(AF20="",0,0.799*AF20)+IF(AG20="",0,0.782*AG20)+IF(AH20="",0,0.588*AH20))/(IF(AE20="",0,0.985)+IF(AF20="",0,0.799)+IF(AG20="",0,0.782)+IF(AH20="",0,0.588)),"")</f>
      </c>
      <c r="AU20" s="12" t="str">
        <f>=IFERROR((IF(AI20="",0,0.91*AI20)+IF(AJ20="",0,0.72*AJ20)+IF(AK20="",0,0.627*AK20)+IF(AL20="",0,0.385*AL20))/(IF(AI20="",0,0.91)+IF(AJ20="",0,0.72)+IF(AK20="",0,0.627)+IF(AL20="",0,0.385)),"")</f>
      </c>
      <c r="AV20" s="12" t="str">
        <f>=IFERROR((IF(AM20="",0,0.813*AM20)+IF(AN20="",0,0.665*AN20))/(IF(AM20="",0,0.813)+IF(AN20="",0,0.665)),"")</f>
      </c>
      <c r="AW20" s="12" t="str">
        <f>=IFERROR((IF(AO20="",0,0.863*AO20))/(IF(AO20="",0,0.863)),"")</f>
      </c>
      <c r="AX20" s="12" t="str">
        <f>=IFERROR((IF(L20="",0,0.903*L20)+IF(K20="",0,0.88*K20)+IF(N20="",0,0.762*N20)+IF(M20="",0,0.74*M20))/(IF(L20="",0,0.903)+IF(K20="",0,0.88)+IF(N20="",0,0.762)+IF(M20="",0,0.74)),"")</f>
      </c>
      <c r="AY20" s="12" t="str">
        <f>=IF(O20="","",O20</f>
      </c>
      <c r="AZ20" s="12" t="str">
        <f>=IF(F20="","",IF(F20="Continuada",1,0))</f>
      </c>
      <c r="BA20" s="12" t="str">
        <f>=IF(G20="","",IF(G20="1r",1,0))</f>
      </c>
      <c r="BB20" s="12" t="str">
        <f>=IF(B20="","",B20)</f>
      </c>
      <c r="BC20" s="12" t="str">
        <f>=IF(E20="","",E20)</f>
      </c>
      <c r="BD20" s="12" t="str">
        <f>=IF(I20="","",IF(OR(I20="Estadística",I20="Doble Eco+Est",I20="Doble ADE+Soc",I20="Doble ADE+Mat",I20="Doble ADE+Dret",I20="Doble ADE+Qui"),1,0))</f>
      </c>
      <c r="BE20" s="12" t="str">
        <f>=IF(J20="","",IF(OR(J20="T.Parcial",J20="T.Complet"),1,0))</f>
      </c>
      <c r="BF20" s="12" t="str">
        <f>=IF(C20="","",C20)</f>
      </c>
      <c r="BG20" s="12" t="str">
        <f>=IF(D20="","",D20)</f>
      </c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Q21" s="12" t="str">
        <f>=IFERROR((IF(R21="",0,0.867*R21)+IF(S21="",0,0.854*S21)+IF(T21="",0,0.702*T21)+IF(U21="",0,0.561*U21)+IF(V21="",0,0.485*V21))/(IF(R21="",0,0.867)+IF(S21="",0,0.854)+IF(T21="",0,0.702)+IF(U21="",0,0.561)+IF(V21="",0,0.485)),"")</f>
      </c>
      <c r="AR21" s="12" t="str">
        <f>=IFERROR((IF(W21="",0,0.83*W21)+IF(X21="",0,0.739*X21)+IF(Y21="",0,0.607*Y21)+IF(Z21="",0,0.368*Z21)+IF(AA21="",0,0.335*AA21))/(IF(W21="",0,0.83)+IF(X21="",0,0.739)+IF(Y21="",0,0.607)+IF(Z21="",0,0.368)+IF(AA21="",0,0.335)),"")</f>
      </c>
      <c r="AS21" s="12" t="str">
        <f>=IFERROR((IF(AB21="",0,0.957*AB21)+IF(AC21="",0,0.84*AC21)+IF(AD21="",0,0.662*AD21))/(IF(AB21="",0,0.957)+IF(AC21="",0,0.84)+IF(AD21="",0,0.662)),"")</f>
      </c>
      <c r="AT21" s="12" t="str">
        <f>=IFERROR((IF(AE21="",0,0.985*AE21)+IF(AF21="",0,0.799*AF21)+IF(AG21="",0,0.782*AG21)+IF(AH21="",0,0.588*AH21))/(IF(AE21="",0,0.985)+IF(AF21="",0,0.799)+IF(AG21="",0,0.782)+IF(AH21="",0,0.588)),"")</f>
      </c>
      <c r="AU21" s="12" t="str">
        <f>=IFERROR((IF(AI21="",0,0.91*AI21)+IF(AJ21="",0,0.72*AJ21)+IF(AK21="",0,0.627*AK21)+IF(AL21="",0,0.385*AL21))/(IF(AI21="",0,0.91)+IF(AJ21="",0,0.72)+IF(AK21="",0,0.627)+IF(AL21="",0,0.385)),"")</f>
      </c>
      <c r="AV21" s="12" t="str">
        <f>=IFERROR((IF(AM21="",0,0.813*AM21)+IF(AN21="",0,0.665*AN21))/(IF(AM21="",0,0.813)+IF(AN21="",0,0.665)),"")</f>
      </c>
      <c r="AW21" s="12" t="str">
        <f>=IFERROR((IF(AO21="",0,0.863*AO21))/(IF(AO21="",0,0.863)),"")</f>
      </c>
      <c r="AX21" s="12" t="str">
        <f>=IFERROR((IF(L21="",0,0.903*L21)+IF(K21="",0,0.88*K21)+IF(N21="",0,0.762*N21)+IF(M21="",0,0.74*M21))/(IF(L21="",0,0.903)+IF(K21="",0,0.88)+IF(N21="",0,0.762)+IF(M21="",0,0.74)),"")</f>
      </c>
      <c r="AY21" s="12" t="str">
        <f>=IF(O21="","",O21</f>
      </c>
      <c r="AZ21" s="12" t="str">
        <f>=IF(F21="","",IF(F21="Continuada",1,0))</f>
      </c>
      <c r="BA21" s="12" t="str">
        <f>=IF(G21="","",IF(G21="1r",1,0))</f>
      </c>
      <c r="BB21" s="12" t="str">
        <f>=IF(B21="","",B21)</f>
      </c>
      <c r="BC21" s="12" t="str">
        <f>=IF(E21="","",E21)</f>
      </c>
      <c r="BD21" s="12" t="str">
        <f>=IF(I21="","",IF(OR(I21="Estadística",I21="Doble Eco+Est",I21="Doble ADE+Soc",I21="Doble ADE+Mat",I21="Doble ADE+Dret",I21="Doble ADE+Qui"),1,0))</f>
      </c>
      <c r="BE21" s="12" t="str">
        <f>=IF(J21="","",IF(OR(J21="T.Parcial",J21="T.Complet"),1,0))</f>
      </c>
      <c r="BF21" s="12" t="str">
        <f>=IF(C21="","",C21)</f>
      </c>
      <c r="BG21" s="12" t="str">
        <f>=IF(D21="","",D21)</f>
      </c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Q22" s="12" t="str">
        <f>=IFERROR((IF(R22="",0,0.867*R22)+IF(S22="",0,0.854*S22)+IF(T22="",0,0.702*T22)+IF(U22="",0,0.561*U22)+IF(V22="",0,0.485*V22))/(IF(R22="",0,0.867)+IF(S22="",0,0.854)+IF(T22="",0,0.702)+IF(U22="",0,0.561)+IF(V22="",0,0.485)),"")</f>
      </c>
      <c r="AR22" s="12" t="str">
        <f>=IFERROR((IF(W22="",0,0.83*W22)+IF(X22="",0,0.739*X22)+IF(Y22="",0,0.607*Y22)+IF(Z22="",0,0.368*Z22)+IF(AA22="",0,0.335*AA22))/(IF(W22="",0,0.83)+IF(X22="",0,0.739)+IF(Y22="",0,0.607)+IF(Z22="",0,0.368)+IF(AA22="",0,0.335)),"")</f>
      </c>
      <c r="AS22" s="12" t="str">
        <f>=IFERROR((IF(AB22="",0,0.957*AB22)+IF(AC22="",0,0.84*AC22)+IF(AD22="",0,0.662*AD22))/(IF(AB22="",0,0.957)+IF(AC22="",0,0.84)+IF(AD22="",0,0.662)),"")</f>
      </c>
      <c r="AT22" s="12" t="str">
        <f>=IFERROR((IF(AE22="",0,0.985*AE22)+IF(AF22="",0,0.799*AF22)+IF(AG22="",0,0.782*AG22)+IF(AH22="",0,0.588*AH22))/(IF(AE22="",0,0.985)+IF(AF22="",0,0.799)+IF(AG22="",0,0.782)+IF(AH22="",0,0.588)),"")</f>
      </c>
      <c r="AU22" s="12" t="str">
        <f>=IFERROR((IF(AI22="",0,0.91*AI22)+IF(AJ22="",0,0.72*AJ22)+IF(AK22="",0,0.627*AK22)+IF(AL22="",0,0.385*AL22))/(IF(AI22="",0,0.91)+IF(AJ22="",0,0.72)+IF(AK22="",0,0.627)+IF(AL22="",0,0.385)),"")</f>
      </c>
      <c r="AV22" s="12" t="str">
        <f>=IFERROR((IF(AM22="",0,0.813*AM22)+IF(AN22="",0,0.665*AN22))/(IF(AM22="",0,0.813)+IF(AN22="",0,0.665)),"")</f>
      </c>
      <c r="AW22" s="12" t="str">
        <f>=IFERROR((IF(AO22="",0,0.863*AO22))/(IF(AO22="",0,0.863)),"")</f>
      </c>
      <c r="AX22" s="12" t="str">
        <f>=IFERROR((IF(L22="",0,0.903*L22)+IF(K22="",0,0.88*K22)+IF(N22="",0,0.762*N22)+IF(M22="",0,0.74*M22))/(IF(L22="",0,0.903)+IF(K22="",0,0.88)+IF(N22="",0,0.762)+IF(M22="",0,0.74)),"")</f>
      </c>
      <c r="AY22" s="12" t="str">
        <f>=IF(O22="","",O22</f>
      </c>
      <c r="AZ22" s="12" t="str">
        <f>=IF(F22="","",IF(F22="Continuada",1,0))</f>
      </c>
      <c r="BA22" s="12" t="str">
        <f>=IF(G22="","",IF(G22="1r",1,0))</f>
      </c>
      <c r="BB22" s="12" t="str">
        <f>=IF(B22="","",B22)</f>
      </c>
      <c r="BC22" s="12" t="str">
        <f>=IF(E22="","",E22)</f>
      </c>
      <c r="BD22" s="12" t="str">
        <f>=IF(I22="","",IF(OR(I22="Estadística",I22="Doble Eco+Est",I22="Doble ADE+Soc",I22="Doble ADE+Mat",I22="Doble ADE+Dret",I22="Doble ADE+Qui"),1,0))</f>
      </c>
      <c r="BE22" s="12" t="str">
        <f>=IF(J22="","",IF(OR(J22="T.Parcial",J22="T.Complet"),1,0))</f>
      </c>
      <c r="BF22" s="12" t="str">
        <f>=IF(C22="","",C22)</f>
      </c>
      <c r="BG22" s="12" t="str">
        <f>=IF(D22="","",D22)</f>
      </c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2" t="str">
        <f>=IFERROR((IF(R23="",0,0.867*R23)+IF(S23="",0,0.854*S23)+IF(T23="",0,0.702*T23)+IF(U23="",0,0.561*U23)+IF(V23="",0,0.485*V23))/(IF(R23="",0,0.867)+IF(S23="",0,0.854)+IF(T23="",0,0.702)+IF(U23="",0,0.561)+IF(V23="",0,0.485)),"")</f>
      </c>
      <c r="AR23" s="12" t="str">
        <f>=IFERROR((IF(W23="",0,0.83*W23)+IF(X23="",0,0.739*X23)+IF(Y23="",0,0.607*Y23)+IF(Z23="",0,0.368*Z23)+IF(AA23="",0,0.335*AA23))/(IF(W23="",0,0.83)+IF(X23="",0,0.739)+IF(Y23="",0,0.607)+IF(Z23="",0,0.368)+IF(AA23="",0,0.335)),"")</f>
      </c>
      <c r="AS23" s="12" t="str">
        <f>=IFERROR((IF(AB23="",0,0.957*AB23)+IF(AC23="",0,0.84*AC23)+IF(AD23="",0,0.662*AD23))/(IF(AB23="",0,0.957)+IF(AC23="",0,0.84)+IF(AD23="",0,0.662)),"")</f>
      </c>
      <c r="AT23" s="12" t="str">
        <f>=IFERROR((IF(AE23="",0,0.985*AE23)+IF(AF23="",0,0.799*AF23)+IF(AG23="",0,0.782*AG23)+IF(AH23="",0,0.588*AH23))/(IF(AE23="",0,0.985)+IF(AF23="",0,0.799)+IF(AG23="",0,0.782)+IF(AH23="",0,0.588)),"")</f>
      </c>
      <c r="AU23" s="12" t="str">
        <f>=IFERROR((IF(AI23="",0,0.91*AI23)+IF(AJ23="",0,0.72*AJ23)+IF(AK23="",0,0.627*AK23)+IF(AL23="",0,0.385*AL23))/(IF(AI23="",0,0.91)+IF(AJ23="",0,0.72)+IF(AK23="",0,0.627)+IF(AL23="",0,0.385)),"")</f>
      </c>
      <c r="AV23" s="12" t="str">
        <f>=IFERROR((IF(AM23="",0,0.813*AM23)+IF(AN23="",0,0.665*AN23))/(IF(AM23="",0,0.813)+IF(AN23="",0,0.665)),"")</f>
      </c>
      <c r="AW23" s="12" t="str">
        <f>=IFERROR((IF(AO23="",0,0.863*AO23))/(IF(AO23="",0,0.863)),"")</f>
      </c>
      <c r="AX23" s="12" t="str">
        <f>=IFERROR((IF(L23="",0,0.903*L23)+IF(K23="",0,0.88*K23)+IF(N23="",0,0.762*N23)+IF(M23="",0,0.74*M23))/(IF(L23="",0,0.903)+IF(K23="",0,0.88)+IF(N23="",0,0.762)+IF(M23="",0,0.74)),"")</f>
      </c>
      <c r="AY23" s="12" t="str">
        <f>=IF(O23="","",O23</f>
      </c>
      <c r="AZ23" s="12" t="str">
        <f>=IF(F23="","",IF(F23="Continuada",1,0))</f>
      </c>
      <c r="BA23" s="12" t="str">
        <f>=IF(G23="","",IF(G23="1r",1,0))</f>
      </c>
      <c r="BB23" s="12" t="str">
        <f>=IF(B23="","",B23)</f>
      </c>
      <c r="BC23" s="12" t="str">
        <f>=IF(E23="","",E23)</f>
      </c>
      <c r="BD23" s="12" t="str">
        <f>=IF(I23="","",IF(OR(I23="Estadística",I23="Doble Eco+Est",I23="Doble ADE+Soc",I23="Doble ADE+Mat",I23="Doble ADE+Dret",I23="Doble ADE+Qui"),1,0))</f>
      </c>
      <c r="BE23" s="12" t="str">
        <f>=IF(J23="","",IF(OR(J23="T.Parcial",J23="T.Complet"),1,0))</f>
      </c>
      <c r="BF23" s="12" t="str">
        <f>=IF(C23="","",C23)</f>
      </c>
      <c r="BG23" s="12" t="str">
        <f>=IF(D23="","",D23)</f>
      </c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Q24" s="12" t="str">
        <f>=IFERROR((IF(R24="",0,0.867*R24)+IF(S24="",0,0.854*S24)+IF(T24="",0,0.702*T24)+IF(U24="",0,0.561*U24)+IF(V24="",0,0.485*V24))/(IF(R24="",0,0.867)+IF(S24="",0,0.854)+IF(T24="",0,0.702)+IF(U24="",0,0.561)+IF(V24="",0,0.485)),"")</f>
      </c>
      <c r="AR24" s="12" t="str">
        <f>=IFERROR((IF(W24="",0,0.83*W24)+IF(X24="",0,0.739*X24)+IF(Y24="",0,0.607*Y24)+IF(Z24="",0,0.368*Z24)+IF(AA24="",0,0.335*AA24))/(IF(W24="",0,0.83)+IF(X24="",0,0.739)+IF(Y24="",0,0.607)+IF(Z24="",0,0.368)+IF(AA24="",0,0.335)),"")</f>
      </c>
      <c r="AS24" s="12" t="str">
        <f>=IFERROR((IF(AB24="",0,0.957*AB24)+IF(AC24="",0,0.84*AC24)+IF(AD24="",0,0.662*AD24))/(IF(AB24="",0,0.957)+IF(AC24="",0,0.84)+IF(AD24="",0,0.662)),"")</f>
      </c>
      <c r="AT24" s="12" t="str">
        <f>=IFERROR((IF(AE24="",0,0.985*AE24)+IF(AF24="",0,0.799*AF24)+IF(AG24="",0,0.782*AG24)+IF(AH24="",0,0.588*AH24))/(IF(AE24="",0,0.985)+IF(AF24="",0,0.799)+IF(AG24="",0,0.782)+IF(AH24="",0,0.588)),"")</f>
      </c>
      <c r="AU24" s="12" t="str">
        <f>=IFERROR((IF(AI24="",0,0.91*AI24)+IF(AJ24="",0,0.72*AJ24)+IF(AK24="",0,0.627*AK24)+IF(AL24="",0,0.385*AL24))/(IF(AI24="",0,0.91)+IF(AJ24="",0,0.72)+IF(AK24="",0,0.627)+IF(AL24="",0,0.385)),"")</f>
      </c>
      <c r="AV24" s="12" t="str">
        <f>=IFERROR((IF(AM24="",0,0.813*AM24)+IF(AN24="",0,0.665*AN24))/(IF(AM24="",0,0.813)+IF(AN24="",0,0.665)),"")</f>
      </c>
      <c r="AW24" s="12" t="str">
        <f>=IFERROR((IF(AO24="",0,0.863*AO24))/(IF(AO24="",0,0.863)),"")</f>
      </c>
      <c r="AX24" s="12" t="str">
        <f>=IFERROR((IF(L24="",0,0.903*L24)+IF(K24="",0,0.88*K24)+IF(N24="",0,0.762*N24)+IF(M24="",0,0.74*M24))/(IF(L24="",0,0.903)+IF(K24="",0,0.88)+IF(N24="",0,0.762)+IF(M24="",0,0.74)),"")</f>
      </c>
      <c r="AY24" s="12" t="str">
        <f>=IF(O24="","",O24</f>
      </c>
      <c r="AZ24" s="12" t="str">
        <f>=IF(F24="","",IF(F24="Continuada",1,0))</f>
      </c>
      <c r="BA24" s="12" t="str">
        <f>=IF(G24="","",IF(G24="1r",1,0))</f>
      </c>
      <c r="BB24" s="12" t="str">
        <f>=IF(B24="","",B24)</f>
      </c>
      <c r="BC24" s="12" t="str">
        <f>=IF(E24="","",E24)</f>
      </c>
      <c r="BD24" s="12" t="str">
        <f>=IF(I24="","",IF(OR(I24="Estadística",I24="Doble Eco+Est",I24="Doble ADE+Soc",I24="Doble ADE+Mat",I24="Doble ADE+Dret",I24="Doble ADE+Qui"),1,0))</f>
      </c>
      <c r="BE24" s="12" t="str">
        <f>=IF(J24="","",IF(OR(J24="T.Parcial",J24="T.Complet"),1,0))</f>
      </c>
      <c r="BF24" s="12" t="str">
        <f>=IF(C24="","",C24)</f>
      </c>
      <c r="BG24" s="12" t="str">
        <f>=IF(D24="","",D24)</f>
      </c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Q25" s="12" t="str">
        <f>=IFERROR((IF(R25="",0,0.867*R25)+IF(S25="",0,0.854*S25)+IF(T25="",0,0.702*T25)+IF(U25="",0,0.561*U25)+IF(V25="",0,0.485*V25))/(IF(R25="",0,0.867)+IF(S25="",0,0.854)+IF(T25="",0,0.702)+IF(U25="",0,0.561)+IF(V25="",0,0.485)),"")</f>
      </c>
      <c r="AR25" s="12" t="str">
        <f>=IFERROR((IF(W25="",0,0.83*W25)+IF(X25="",0,0.739*X25)+IF(Y25="",0,0.607*Y25)+IF(Z25="",0,0.368*Z25)+IF(AA25="",0,0.335*AA25))/(IF(W25="",0,0.83)+IF(X25="",0,0.739)+IF(Y25="",0,0.607)+IF(Z25="",0,0.368)+IF(AA25="",0,0.335)),"")</f>
      </c>
      <c r="AS25" s="12" t="str">
        <f>=IFERROR((IF(AB25="",0,0.957*AB25)+IF(AC25="",0,0.84*AC25)+IF(AD25="",0,0.662*AD25))/(IF(AB25="",0,0.957)+IF(AC25="",0,0.84)+IF(AD25="",0,0.662)),"")</f>
      </c>
      <c r="AT25" s="12" t="str">
        <f>=IFERROR((IF(AE25="",0,0.985*AE25)+IF(AF25="",0,0.799*AF25)+IF(AG25="",0,0.782*AG25)+IF(AH25="",0,0.588*AH25))/(IF(AE25="",0,0.985)+IF(AF25="",0,0.799)+IF(AG25="",0,0.782)+IF(AH25="",0,0.588)),"")</f>
      </c>
      <c r="AU25" s="12" t="str">
        <f>=IFERROR((IF(AI25="",0,0.91*AI25)+IF(AJ25="",0,0.72*AJ25)+IF(AK25="",0,0.627*AK25)+IF(AL25="",0,0.385*AL25))/(IF(AI25="",0,0.91)+IF(AJ25="",0,0.72)+IF(AK25="",0,0.627)+IF(AL25="",0,0.385)),"")</f>
      </c>
      <c r="AV25" s="12" t="str">
        <f>=IFERROR((IF(AM25="",0,0.813*AM25)+IF(AN25="",0,0.665*AN25))/(IF(AM25="",0,0.813)+IF(AN25="",0,0.665)),"")</f>
      </c>
      <c r="AW25" s="12" t="str">
        <f>=IFERROR((IF(AO25="",0,0.863*AO25))/(IF(AO25="",0,0.863)),"")</f>
      </c>
      <c r="AX25" s="12" t="str">
        <f>=IFERROR((IF(L25="",0,0.903*L25)+IF(K25="",0,0.88*K25)+IF(N25="",0,0.762*N25)+IF(M25="",0,0.74*M25))/(IF(L25="",0,0.903)+IF(K25="",0,0.88)+IF(N25="",0,0.762)+IF(M25="",0,0.74)),"")</f>
      </c>
      <c r="AY25" s="12" t="str">
        <f>=IF(O25="","",O25</f>
      </c>
      <c r="AZ25" s="12" t="str">
        <f>=IF(F25="","",IF(F25="Continuada",1,0))</f>
      </c>
      <c r="BA25" s="12" t="str">
        <f>=IF(G25="","",IF(G25="1r",1,0))</f>
      </c>
      <c r="BB25" s="12" t="str">
        <f>=IF(B25="","",B25)</f>
      </c>
      <c r="BC25" s="12" t="str">
        <f>=IF(E25="","",E25)</f>
      </c>
      <c r="BD25" s="12" t="str">
        <f>=IF(I25="","",IF(OR(I25="Estadística",I25="Doble Eco+Est",I25="Doble ADE+Soc",I25="Doble ADE+Mat",I25="Doble ADE+Dret",I25="Doble ADE+Qui"),1,0))</f>
      </c>
      <c r="BE25" s="12" t="str">
        <f>=IF(J25="","",IF(OR(J25="T.Parcial",J25="T.Complet"),1,0))</f>
      </c>
      <c r="BF25" s="12" t="str">
        <f>=IF(C25="","",C25)</f>
      </c>
      <c r="BG25" s="12" t="str">
        <f>=IF(D25="","",D25)</f>
      </c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Q26" s="12" t="str">
        <f>=IFERROR((IF(R26="",0,0.867*R26)+IF(S26="",0,0.854*S26)+IF(T26="",0,0.702*T26)+IF(U26="",0,0.561*U26)+IF(V26="",0,0.485*V26))/(IF(R26="",0,0.867)+IF(S26="",0,0.854)+IF(T26="",0,0.702)+IF(U26="",0,0.561)+IF(V26="",0,0.485)),"")</f>
      </c>
      <c r="AR26" s="12" t="str">
        <f>=IFERROR((IF(W26="",0,0.83*W26)+IF(X26="",0,0.739*X26)+IF(Y26="",0,0.607*Y26)+IF(Z26="",0,0.368*Z26)+IF(AA26="",0,0.335*AA26))/(IF(W26="",0,0.83)+IF(X26="",0,0.739)+IF(Y26="",0,0.607)+IF(Z26="",0,0.368)+IF(AA26="",0,0.335)),"")</f>
      </c>
      <c r="AS26" s="12" t="str">
        <f>=IFERROR((IF(AB26="",0,0.957*AB26)+IF(AC26="",0,0.84*AC26)+IF(AD26="",0,0.662*AD26))/(IF(AB26="",0,0.957)+IF(AC26="",0,0.84)+IF(AD26="",0,0.662)),"")</f>
      </c>
      <c r="AT26" s="12" t="str">
        <f>=IFERROR((IF(AE26="",0,0.985*AE26)+IF(AF26="",0,0.799*AF26)+IF(AG26="",0,0.782*AG26)+IF(AH26="",0,0.588*AH26))/(IF(AE26="",0,0.985)+IF(AF26="",0,0.799)+IF(AG26="",0,0.782)+IF(AH26="",0,0.588)),"")</f>
      </c>
      <c r="AU26" s="12" t="str">
        <f>=IFERROR((IF(AI26="",0,0.91*AI26)+IF(AJ26="",0,0.72*AJ26)+IF(AK26="",0,0.627*AK26)+IF(AL26="",0,0.385*AL26))/(IF(AI26="",0,0.91)+IF(AJ26="",0,0.72)+IF(AK26="",0,0.627)+IF(AL26="",0,0.385)),"")</f>
      </c>
      <c r="AV26" s="12" t="str">
        <f>=IFERROR((IF(AM26="",0,0.813*AM26)+IF(AN26="",0,0.665*AN26))/(IF(AM26="",0,0.813)+IF(AN26="",0,0.665)),"")</f>
      </c>
      <c r="AW26" s="12" t="str">
        <f>=IFERROR((IF(AO26="",0,0.863*AO26))/(IF(AO26="",0,0.863)),"")</f>
      </c>
      <c r="AX26" s="12" t="str">
        <f>=IFERROR((IF(L26="",0,0.903*L26)+IF(K26="",0,0.88*K26)+IF(N26="",0,0.762*N26)+IF(M26="",0,0.74*M26))/(IF(L26="",0,0.903)+IF(K26="",0,0.88)+IF(N26="",0,0.762)+IF(M26="",0,0.74)),"")</f>
      </c>
      <c r="AY26" s="12" t="str">
        <f>=IF(O26="","",O26</f>
      </c>
      <c r="AZ26" s="12" t="str">
        <f>=IF(F26="","",IF(F26="Continuada",1,0))</f>
      </c>
      <c r="BA26" s="12" t="str">
        <f>=IF(G26="","",IF(G26="1r",1,0))</f>
      </c>
      <c r="BB26" s="12" t="str">
        <f>=IF(B26="","",B26)</f>
      </c>
      <c r="BC26" s="12" t="str">
        <f>=IF(E26="","",E26)</f>
      </c>
      <c r="BD26" s="12" t="str">
        <f>=IF(I26="","",IF(OR(I26="Estadística",I26="Doble Eco+Est",I26="Doble ADE+Soc",I26="Doble ADE+Mat",I26="Doble ADE+Dret",I26="Doble ADE+Qui"),1,0))</f>
      </c>
      <c r="BE26" s="12" t="str">
        <f>=IF(J26="","",IF(OR(J26="T.Parcial",J26="T.Complet"),1,0))</f>
      </c>
      <c r="BF26" s="12" t="str">
        <f>=IF(C26="","",C26)</f>
      </c>
      <c r="BG26" s="12" t="str">
        <f>=IF(D26="","",D26)</f>
      </c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Q27" s="12" t="str">
        <f>=IFERROR((IF(R27="",0,0.867*R27)+IF(S27="",0,0.854*S27)+IF(T27="",0,0.702*T27)+IF(U27="",0,0.561*U27)+IF(V27="",0,0.485*V27))/(IF(R27="",0,0.867)+IF(S27="",0,0.854)+IF(T27="",0,0.702)+IF(U27="",0,0.561)+IF(V27="",0,0.485)),"")</f>
      </c>
      <c r="AR27" s="12" t="str">
        <f>=IFERROR((IF(W27="",0,0.83*W27)+IF(X27="",0,0.739*X27)+IF(Y27="",0,0.607*Y27)+IF(Z27="",0,0.368*Z27)+IF(AA27="",0,0.335*AA27))/(IF(W27="",0,0.83)+IF(X27="",0,0.739)+IF(Y27="",0,0.607)+IF(Z27="",0,0.368)+IF(AA27="",0,0.335)),"")</f>
      </c>
      <c r="AS27" s="12" t="str">
        <f>=IFERROR((IF(AB27="",0,0.957*AB27)+IF(AC27="",0,0.84*AC27)+IF(AD27="",0,0.662*AD27))/(IF(AB27="",0,0.957)+IF(AC27="",0,0.84)+IF(AD27="",0,0.662)),"")</f>
      </c>
      <c r="AT27" s="12" t="str">
        <f>=IFERROR((IF(AE27="",0,0.985*AE27)+IF(AF27="",0,0.799*AF27)+IF(AG27="",0,0.782*AG27)+IF(AH27="",0,0.588*AH27))/(IF(AE27="",0,0.985)+IF(AF27="",0,0.799)+IF(AG27="",0,0.782)+IF(AH27="",0,0.588)),"")</f>
      </c>
      <c r="AU27" s="12" t="str">
        <f>=IFERROR((IF(AI27="",0,0.91*AI27)+IF(AJ27="",0,0.72*AJ27)+IF(AK27="",0,0.627*AK27)+IF(AL27="",0,0.385*AL27))/(IF(AI27="",0,0.91)+IF(AJ27="",0,0.72)+IF(AK27="",0,0.627)+IF(AL27="",0,0.385)),"")</f>
      </c>
      <c r="AV27" s="12" t="str">
        <f>=IFERROR((IF(AM27="",0,0.813*AM27)+IF(AN27="",0,0.665*AN27))/(IF(AM27="",0,0.813)+IF(AN27="",0,0.665)),"")</f>
      </c>
      <c r="AW27" s="12" t="str">
        <f>=IFERROR((IF(AO27="",0,0.863*AO27))/(IF(AO27="",0,0.863)),"")</f>
      </c>
      <c r="AX27" s="12" t="str">
        <f>=IFERROR((IF(L27="",0,0.903*L27)+IF(K27="",0,0.88*K27)+IF(N27="",0,0.762*N27)+IF(M27="",0,0.74*M27))/(IF(L27="",0,0.903)+IF(K27="",0,0.88)+IF(N27="",0,0.762)+IF(M27="",0,0.74)),"")</f>
      </c>
      <c r="AY27" s="12" t="str">
        <f>=IF(O27="","",O27</f>
      </c>
      <c r="AZ27" s="12" t="str">
        <f>=IF(F27="","",IF(F27="Continuada",1,0))</f>
      </c>
      <c r="BA27" s="12" t="str">
        <f>=IF(G27="","",IF(G27="1r",1,0))</f>
      </c>
      <c r="BB27" s="12" t="str">
        <f>=IF(B27="","",B27)</f>
      </c>
      <c r="BC27" s="12" t="str">
        <f>=IF(E27="","",E27)</f>
      </c>
      <c r="BD27" s="12" t="str">
        <f>=IF(I27="","",IF(OR(I27="Estadística",I27="Doble Eco+Est",I27="Doble ADE+Soc",I27="Doble ADE+Mat",I27="Doble ADE+Dret",I27="Doble ADE+Qui"),1,0))</f>
      </c>
      <c r="BE27" s="12" t="str">
        <f>=IF(J27="","",IF(OR(J27="T.Parcial",J27="T.Complet"),1,0))</f>
      </c>
      <c r="BF27" s="12" t="str">
        <f>=IF(C27="","",C27)</f>
      </c>
      <c r="BG27" s="12" t="str">
        <f>=IF(D27="","",D27)</f>
      </c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Q28" s="12" t="str">
        <f>=IFERROR((IF(R28="",0,0.867*R28)+IF(S28="",0,0.854*S28)+IF(T28="",0,0.702*T28)+IF(U28="",0,0.561*U28)+IF(V28="",0,0.485*V28))/(IF(R28="",0,0.867)+IF(S28="",0,0.854)+IF(T28="",0,0.702)+IF(U28="",0,0.561)+IF(V28="",0,0.485)),"")</f>
      </c>
      <c r="AR28" s="12" t="str">
        <f>=IFERROR((IF(W28="",0,0.83*W28)+IF(X28="",0,0.739*X28)+IF(Y28="",0,0.607*Y28)+IF(Z28="",0,0.368*Z28)+IF(AA28="",0,0.335*AA28))/(IF(W28="",0,0.83)+IF(X28="",0,0.739)+IF(Y28="",0,0.607)+IF(Z28="",0,0.368)+IF(AA28="",0,0.335)),"")</f>
      </c>
      <c r="AS28" s="12" t="str">
        <f>=IFERROR((IF(AB28="",0,0.957*AB28)+IF(AC28="",0,0.84*AC28)+IF(AD28="",0,0.662*AD28))/(IF(AB28="",0,0.957)+IF(AC28="",0,0.84)+IF(AD28="",0,0.662)),"")</f>
      </c>
      <c r="AT28" s="12" t="str">
        <f>=IFERROR((IF(AE28="",0,0.985*AE28)+IF(AF28="",0,0.799*AF28)+IF(AG28="",0,0.782*AG28)+IF(AH28="",0,0.588*AH28))/(IF(AE28="",0,0.985)+IF(AF28="",0,0.799)+IF(AG28="",0,0.782)+IF(AH28="",0,0.588)),"")</f>
      </c>
      <c r="AU28" s="12" t="str">
        <f>=IFERROR((IF(AI28="",0,0.91*AI28)+IF(AJ28="",0,0.72*AJ28)+IF(AK28="",0,0.627*AK28)+IF(AL28="",0,0.385*AL28))/(IF(AI28="",0,0.91)+IF(AJ28="",0,0.72)+IF(AK28="",0,0.627)+IF(AL28="",0,0.385)),"")</f>
      </c>
      <c r="AV28" s="12" t="str">
        <f>=IFERROR((IF(AM28="",0,0.813*AM28)+IF(AN28="",0,0.665*AN28))/(IF(AM28="",0,0.813)+IF(AN28="",0,0.665)),"")</f>
      </c>
      <c r="AW28" s="12" t="str">
        <f>=IFERROR((IF(AO28="",0,0.863*AO28))/(IF(AO28="",0,0.863)),"")</f>
      </c>
      <c r="AX28" s="12" t="str">
        <f>=IFERROR((IF(L28="",0,0.903*L28)+IF(K28="",0,0.88*K28)+IF(N28="",0,0.762*N28)+IF(M28="",0,0.74*M28))/(IF(L28="",0,0.903)+IF(K28="",0,0.88)+IF(N28="",0,0.762)+IF(M28="",0,0.74)),"")</f>
      </c>
      <c r="AY28" s="12" t="str">
        <f>=IF(O28="","",O28</f>
      </c>
      <c r="AZ28" s="12" t="str">
        <f>=IF(F28="","",IF(F28="Continuada",1,0))</f>
      </c>
      <c r="BA28" s="12" t="str">
        <f>=IF(G28="","",IF(G28="1r",1,0))</f>
      </c>
      <c r="BB28" s="12" t="str">
        <f>=IF(B28="","",B28)</f>
      </c>
      <c r="BC28" s="12" t="str">
        <f>=IF(E28="","",E28)</f>
      </c>
      <c r="BD28" s="12" t="str">
        <f>=IF(I28="","",IF(OR(I28="Estadística",I28="Doble Eco+Est",I28="Doble ADE+Soc",I28="Doble ADE+Mat",I28="Doble ADE+Dret",I28="Doble ADE+Qui"),1,0))</f>
      </c>
      <c r="BE28" s="12" t="str">
        <f>=IF(J28="","",IF(OR(J28="T.Parcial",J28="T.Complet"),1,0))</f>
      </c>
      <c r="BF28" s="12" t="str">
        <f>=IF(C28="","",C28)</f>
      </c>
      <c r="BG28" s="12" t="str">
        <f>=IF(D28="","",D28)</f>
      </c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Q29" s="12" t="str">
        <f>=IFERROR((IF(R29="",0,0.867*R29)+IF(S29="",0,0.854*S29)+IF(T29="",0,0.702*T29)+IF(U29="",0,0.561*U29)+IF(V29="",0,0.485*V29))/(IF(R29="",0,0.867)+IF(S29="",0,0.854)+IF(T29="",0,0.702)+IF(U29="",0,0.561)+IF(V29="",0,0.485)),"")</f>
      </c>
      <c r="AR29" s="12" t="str">
        <f>=IFERROR((IF(W29="",0,0.83*W29)+IF(X29="",0,0.739*X29)+IF(Y29="",0,0.607*Y29)+IF(Z29="",0,0.368*Z29)+IF(AA29="",0,0.335*AA29))/(IF(W29="",0,0.83)+IF(X29="",0,0.739)+IF(Y29="",0,0.607)+IF(Z29="",0,0.368)+IF(AA29="",0,0.335)),"")</f>
      </c>
      <c r="AS29" s="12" t="str">
        <f>=IFERROR((IF(AB29="",0,0.957*AB29)+IF(AC29="",0,0.84*AC29)+IF(AD29="",0,0.662*AD29))/(IF(AB29="",0,0.957)+IF(AC29="",0,0.84)+IF(AD29="",0,0.662)),"")</f>
      </c>
      <c r="AT29" s="12" t="str">
        <f>=IFERROR((IF(AE29="",0,0.985*AE29)+IF(AF29="",0,0.799*AF29)+IF(AG29="",0,0.782*AG29)+IF(AH29="",0,0.588*AH29))/(IF(AE29="",0,0.985)+IF(AF29="",0,0.799)+IF(AG29="",0,0.782)+IF(AH29="",0,0.588)),"")</f>
      </c>
      <c r="AU29" s="12" t="str">
        <f>=IFERROR((IF(AI29="",0,0.91*AI29)+IF(AJ29="",0,0.72*AJ29)+IF(AK29="",0,0.627*AK29)+IF(AL29="",0,0.385*AL29))/(IF(AI29="",0,0.91)+IF(AJ29="",0,0.72)+IF(AK29="",0,0.627)+IF(AL29="",0,0.385)),"")</f>
      </c>
      <c r="AV29" s="12" t="str">
        <f>=IFERROR((IF(AM29="",0,0.813*AM29)+IF(AN29="",0,0.665*AN29))/(IF(AM29="",0,0.813)+IF(AN29="",0,0.665)),"")</f>
      </c>
      <c r="AW29" s="12" t="str">
        <f>=IFERROR((IF(AO29="",0,0.863*AO29))/(IF(AO29="",0,0.863)),"")</f>
      </c>
      <c r="AX29" s="12" t="str">
        <f>=IFERROR((IF(L29="",0,0.903*L29)+IF(K29="",0,0.88*K29)+IF(N29="",0,0.762*N29)+IF(M29="",0,0.74*M29))/(IF(L29="",0,0.903)+IF(K29="",0,0.88)+IF(N29="",0,0.762)+IF(M29="",0,0.74)),"")</f>
      </c>
      <c r="AY29" s="12" t="str">
        <f>=IF(O29="","",O29</f>
      </c>
      <c r="AZ29" s="12" t="str">
        <f>=IF(F29="","",IF(F29="Continuada",1,0))</f>
      </c>
      <c r="BA29" s="12" t="str">
        <f>=IF(G29="","",IF(G29="1r",1,0))</f>
      </c>
      <c r="BB29" s="12" t="str">
        <f>=IF(B29="","",B29)</f>
      </c>
      <c r="BC29" s="12" t="str">
        <f>=IF(E29="","",E29)</f>
      </c>
      <c r="BD29" s="12" t="str">
        <f>=IF(I29="","",IF(OR(I29="Estadística",I29="Doble Eco+Est",I29="Doble ADE+Soc",I29="Doble ADE+Mat",I29="Doble ADE+Dret",I29="Doble ADE+Qui"),1,0))</f>
      </c>
      <c r="BE29" s="12" t="str">
        <f>=IF(J29="","",IF(OR(J29="T.Parcial",J29="T.Complet"),1,0))</f>
      </c>
      <c r="BF29" s="12" t="str">
        <f>=IF(C29="","",C29)</f>
      </c>
      <c r="BG29" s="12" t="str">
        <f>=IF(D29="","",D29)</f>
      </c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Q30" s="12" t="str">
        <f>=IFERROR((IF(R30="",0,0.867*R30)+IF(S30="",0,0.854*S30)+IF(T30="",0,0.702*T30)+IF(U30="",0,0.561*U30)+IF(V30="",0,0.485*V30))/(IF(R30="",0,0.867)+IF(S30="",0,0.854)+IF(T30="",0,0.702)+IF(U30="",0,0.561)+IF(V30="",0,0.485)),"")</f>
      </c>
      <c r="AR30" s="12" t="str">
        <f>=IFERROR((IF(W30="",0,0.83*W30)+IF(X30="",0,0.739*X30)+IF(Y30="",0,0.607*Y30)+IF(Z30="",0,0.368*Z30)+IF(AA30="",0,0.335*AA30))/(IF(W30="",0,0.83)+IF(X30="",0,0.739)+IF(Y30="",0,0.607)+IF(Z30="",0,0.368)+IF(AA30="",0,0.335)),"")</f>
      </c>
      <c r="AS30" s="12" t="str">
        <f>=IFERROR((IF(AB30="",0,0.957*AB30)+IF(AC30="",0,0.84*AC30)+IF(AD30="",0,0.662*AD30))/(IF(AB30="",0,0.957)+IF(AC30="",0,0.84)+IF(AD30="",0,0.662)),"")</f>
      </c>
      <c r="AT30" s="12" t="str">
        <f>=IFERROR((IF(AE30="",0,0.985*AE30)+IF(AF30="",0,0.799*AF30)+IF(AG30="",0,0.782*AG30)+IF(AH30="",0,0.588*AH30))/(IF(AE30="",0,0.985)+IF(AF30="",0,0.799)+IF(AG30="",0,0.782)+IF(AH30="",0,0.588)),"")</f>
      </c>
      <c r="AU30" s="12" t="str">
        <f>=IFERROR((IF(AI30="",0,0.91*AI30)+IF(AJ30="",0,0.72*AJ30)+IF(AK30="",0,0.627*AK30)+IF(AL30="",0,0.385*AL30))/(IF(AI30="",0,0.91)+IF(AJ30="",0,0.72)+IF(AK30="",0,0.627)+IF(AL30="",0,0.385)),"")</f>
      </c>
      <c r="AV30" s="12" t="str">
        <f>=IFERROR((IF(AM30="",0,0.813*AM30)+IF(AN30="",0,0.665*AN30))/(IF(AM30="",0,0.813)+IF(AN30="",0,0.665)),"")</f>
      </c>
      <c r="AW30" s="12" t="str">
        <f>=IFERROR((IF(AO30="",0,0.863*AO30))/(IF(AO30="",0,0.863)),"")</f>
      </c>
      <c r="AX30" s="12" t="str">
        <f>=IFERROR((IF(L30="",0,0.903*L30)+IF(K30="",0,0.88*K30)+IF(N30="",0,0.762*N30)+IF(M30="",0,0.74*M30))/(IF(L30="",0,0.903)+IF(K30="",0,0.88)+IF(N30="",0,0.762)+IF(M30="",0,0.74)),"")</f>
      </c>
      <c r="AY30" s="12" t="str">
        <f>=IF(O30="","",O30</f>
      </c>
      <c r="AZ30" s="12" t="str">
        <f>=IF(F30="","",IF(F30="Continuada",1,0))</f>
      </c>
      <c r="BA30" s="12" t="str">
        <f>=IF(G30="","",IF(G30="1r",1,0))</f>
      </c>
      <c r="BB30" s="12" t="str">
        <f>=IF(B30="","",B30)</f>
      </c>
      <c r="BC30" s="12" t="str">
        <f>=IF(E30="","",E30)</f>
      </c>
      <c r="BD30" s="12" t="str">
        <f>=IF(I30="","",IF(OR(I30="Estadística",I30="Doble Eco+Est",I30="Doble ADE+Soc",I30="Doble ADE+Mat",I30="Doble ADE+Dret",I30="Doble ADE+Qui"),1,0))</f>
      </c>
      <c r="BE30" s="12" t="str">
        <f>=IF(J30="","",IF(OR(J30="T.Parcial",J30="T.Complet"),1,0))</f>
      </c>
      <c r="BF30" s="12" t="str">
        <f>=IF(C30="","",C30)</f>
      </c>
      <c r="BG30" s="12" t="str">
        <f>=IF(D30="","",D30)</f>
      </c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Q31" s="12" t="str">
        <f>=IFERROR((IF(R31="",0,0.867*R31)+IF(S31="",0,0.854*S31)+IF(T31="",0,0.702*T31)+IF(U31="",0,0.561*U31)+IF(V31="",0,0.485*V31))/(IF(R31="",0,0.867)+IF(S31="",0,0.854)+IF(T31="",0,0.702)+IF(U31="",0,0.561)+IF(V31="",0,0.485)),"")</f>
      </c>
      <c r="AR31" s="12" t="str">
        <f>=IFERROR((IF(W31="",0,0.83*W31)+IF(X31="",0,0.739*X31)+IF(Y31="",0,0.607*Y31)+IF(Z31="",0,0.368*Z31)+IF(AA31="",0,0.335*AA31))/(IF(W31="",0,0.83)+IF(X31="",0,0.739)+IF(Y31="",0,0.607)+IF(Z31="",0,0.368)+IF(AA31="",0,0.335)),"")</f>
      </c>
      <c r="AS31" s="12" t="str">
        <f>=IFERROR((IF(AB31="",0,0.957*AB31)+IF(AC31="",0,0.84*AC31)+IF(AD31="",0,0.662*AD31))/(IF(AB31="",0,0.957)+IF(AC31="",0,0.84)+IF(AD31="",0,0.662)),"")</f>
      </c>
      <c r="AT31" s="12" t="str">
        <f>=IFERROR((IF(AE31="",0,0.985*AE31)+IF(AF31="",0,0.799*AF31)+IF(AG31="",0,0.782*AG31)+IF(AH31="",0,0.588*AH31))/(IF(AE31="",0,0.985)+IF(AF31="",0,0.799)+IF(AG31="",0,0.782)+IF(AH31="",0,0.588)),"")</f>
      </c>
      <c r="AU31" s="12" t="str">
        <f>=IFERROR((IF(AI31="",0,0.91*AI31)+IF(AJ31="",0,0.72*AJ31)+IF(AK31="",0,0.627*AK31)+IF(AL31="",0,0.385*AL31))/(IF(AI31="",0,0.91)+IF(AJ31="",0,0.72)+IF(AK31="",0,0.627)+IF(AL31="",0,0.385)),"")</f>
      </c>
      <c r="AV31" s="12" t="str">
        <f>=IFERROR((IF(AM31="",0,0.813*AM31)+IF(AN31="",0,0.665*AN31))/(IF(AM31="",0,0.813)+IF(AN31="",0,0.665)),"")</f>
      </c>
      <c r="AW31" s="12" t="str">
        <f>=IFERROR((IF(AO31="",0,0.863*AO31))/(IF(AO31="",0,0.863)),"")</f>
      </c>
      <c r="AX31" s="12" t="str">
        <f>=IFERROR((IF(L31="",0,0.903*L31)+IF(K31="",0,0.88*K31)+IF(N31="",0,0.762*N31)+IF(M31="",0,0.74*M31))/(IF(L31="",0,0.903)+IF(K31="",0,0.88)+IF(N31="",0,0.762)+IF(M31="",0,0.74)),"")</f>
      </c>
      <c r="AY31" s="12" t="str">
        <f>=IF(O31="","",O31</f>
      </c>
      <c r="AZ31" s="12" t="str">
        <f>=IF(F31="","",IF(F31="Continuada",1,0))</f>
      </c>
      <c r="BA31" s="12" t="str">
        <f>=IF(G31="","",IF(G31="1r",1,0))</f>
      </c>
      <c r="BB31" s="12" t="str">
        <f>=IF(B31="","",B31)</f>
      </c>
      <c r="BC31" s="12" t="str">
        <f>=IF(E31="","",E31)</f>
      </c>
      <c r="BD31" s="12" t="str">
        <f>=IF(I31="","",IF(OR(I31="Estadística",I31="Doble Eco+Est",I31="Doble ADE+Soc",I31="Doble ADE+Mat",I31="Doble ADE+Dret",I31="Doble ADE+Qui"),1,0))</f>
      </c>
      <c r="BE31" s="12" t="str">
        <f>=IF(J31="","",IF(OR(J31="T.Parcial",J31="T.Complet"),1,0))</f>
      </c>
      <c r="BF31" s="12" t="str">
        <f>=IF(C31="","",C31)</f>
      </c>
      <c r="BG31" s="12" t="str">
        <f>=IF(D31="","",D31)</f>
      </c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Q32" s="12" t="str">
        <f>=IFERROR((IF(R32="",0,0.867*R32)+IF(S32="",0,0.854*S32)+IF(T32="",0,0.702*T32)+IF(U32="",0,0.561*U32)+IF(V32="",0,0.485*V32))/(IF(R32="",0,0.867)+IF(S32="",0,0.854)+IF(T32="",0,0.702)+IF(U32="",0,0.561)+IF(V32="",0,0.485)),"")</f>
      </c>
      <c r="AR32" s="12" t="str">
        <f>=IFERROR((IF(W32="",0,0.83*W32)+IF(X32="",0,0.739*X32)+IF(Y32="",0,0.607*Y32)+IF(Z32="",0,0.368*Z32)+IF(AA32="",0,0.335*AA32))/(IF(W32="",0,0.83)+IF(X32="",0,0.739)+IF(Y32="",0,0.607)+IF(Z32="",0,0.368)+IF(AA32="",0,0.335)),"")</f>
      </c>
      <c r="AS32" s="12" t="str">
        <f>=IFERROR((IF(AB32="",0,0.957*AB32)+IF(AC32="",0,0.84*AC32)+IF(AD32="",0,0.662*AD32))/(IF(AB32="",0,0.957)+IF(AC32="",0,0.84)+IF(AD32="",0,0.662)),"")</f>
      </c>
      <c r="AT32" s="12" t="str">
        <f>=IFERROR((IF(AE32="",0,0.985*AE32)+IF(AF32="",0,0.799*AF32)+IF(AG32="",0,0.782*AG32)+IF(AH32="",0,0.588*AH32))/(IF(AE32="",0,0.985)+IF(AF32="",0,0.799)+IF(AG32="",0,0.782)+IF(AH32="",0,0.588)),"")</f>
      </c>
      <c r="AU32" s="12" t="str">
        <f>=IFERROR((IF(AI32="",0,0.91*AI32)+IF(AJ32="",0,0.72*AJ32)+IF(AK32="",0,0.627*AK32)+IF(AL32="",0,0.385*AL32))/(IF(AI32="",0,0.91)+IF(AJ32="",0,0.72)+IF(AK32="",0,0.627)+IF(AL32="",0,0.385)),"")</f>
      </c>
      <c r="AV32" s="12" t="str">
        <f>=IFERROR((IF(AM32="",0,0.813*AM32)+IF(AN32="",0,0.665*AN32))/(IF(AM32="",0,0.813)+IF(AN32="",0,0.665)),"")</f>
      </c>
      <c r="AW32" s="12" t="str">
        <f>=IFERROR((IF(AO32="",0,0.863*AO32))/(IF(AO32="",0,0.863)),"")</f>
      </c>
      <c r="AX32" s="12" t="str">
        <f>=IFERROR((IF(L32="",0,0.903*L32)+IF(K32="",0,0.88*K32)+IF(N32="",0,0.762*N32)+IF(M32="",0,0.74*M32))/(IF(L32="",0,0.903)+IF(K32="",0,0.88)+IF(N32="",0,0.762)+IF(M32="",0,0.74)),"")</f>
      </c>
      <c r="AY32" s="12" t="str">
        <f>=IF(O32="","",O32</f>
      </c>
      <c r="AZ32" s="12" t="str">
        <f>=IF(F32="","",IF(F32="Continuada",1,0))</f>
      </c>
      <c r="BA32" s="12" t="str">
        <f>=IF(G32="","",IF(G32="1r",1,0))</f>
      </c>
      <c r="BB32" s="12" t="str">
        <f>=IF(B32="","",B32)</f>
      </c>
      <c r="BC32" s="12" t="str">
        <f>=IF(E32="","",E32)</f>
      </c>
      <c r="BD32" s="12" t="str">
        <f>=IF(I32="","",IF(OR(I32="Estadística",I32="Doble Eco+Est",I32="Doble ADE+Soc",I32="Doble ADE+Mat",I32="Doble ADE+Dret",I32="Doble ADE+Qui"),1,0))</f>
      </c>
      <c r="BE32" s="12" t="str">
        <f>=IF(J32="","",IF(OR(J32="T.Parcial",J32="T.Complet"),1,0))</f>
      </c>
      <c r="BF32" s="12" t="str">
        <f>=IF(C32="","",C32)</f>
      </c>
      <c r="BG32" s="12" t="str">
        <f>=IF(D32="","",D32)</f>
      </c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Q33" s="12" t="str">
        <f>=IFERROR((IF(R33="",0,0.867*R33)+IF(S33="",0,0.854*S33)+IF(T33="",0,0.702*T33)+IF(U33="",0,0.561*U33)+IF(V33="",0,0.485*V33))/(IF(R33="",0,0.867)+IF(S33="",0,0.854)+IF(T33="",0,0.702)+IF(U33="",0,0.561)+IF(V33="",0,0.485)),"")</f>
      </c>
      <c r="AR33" s="12" t="str">
        <f>=IFERROR((IF(W33="",0,0.83*W33)+IF(X33="",0,0.739*X33)+IF(Y33="",0,0.607*Y33)+IF(Z33="",0,0.368*Z33)+IF(AA33="",0,0.335*AA33))/(IF(W33="",0,0.83)+IF(X33="",0,0.739)+IF(Y33="",0,0.607)+IF(Z33="",0,0.368)+IF(AA33="",0,0.335)),"")</f>
      </c>
      <c r="AS33" s="12" t="str">
        <f>=IFERROR((IF(AB33="",0,0.957*AB33)+IF(AC33="",0,0.84*AC33)+IF(AD33="",0,0.662*AD33))/(IF(AB33="",0,0.957)+IF(AC33="",0,0.84)+IF(AD33="",0,0.662)),"")</f>
      </c>
      <c r="AT33" s="12" t="str">
        <f>=IFERROR((IF(AE33="",0,0.985*AE33)+IF(AF33="",0,0.799*AF33)+IF(AG33="",0,0.782*AG33)+IF(AH33="",0,0.588*AH33))/(IF(AE33="",0,0.985)+IF(AF33="",0,0.799)+IF(AG33="",0,0.782)+IF(AH33="",0,0.588)),"")</f>
      </c>
      <c r="AU33" s="12" t="str">
        <f>=IFERROR((IF(AI33="",0,0.91*AI33)+IF(AJ33="",0,0.72*AJ33)+IF(AK33="",0,0.627*AK33)+IF(AL33="",0,0.385*AL33))/(IF(AI33="",0,0.91)+IF(AJ33="",0,0.72)+IF(AK33="",0,0.627)+IF(AL33="",0,0.385)),"")</f>
      </c>
      <c r="AV33" s="12" t="str">
        <f>=IFERROR((IF(AM33="",0,0.813*AM33)+IF(AN33="",0,0.665*AN33))/(IF(AM33="",0,0.813)+IF(AN33="",0,0.665)),"")</f>
      </c>
      <c r="AW33" s="12" t="str">
        <f>=IFERROR((IF(AO33="",0,0.863*AO33))/(IF(AO33="",0,0.863)),"")</f>
      </c>
      <c r="AX33" s="12" t="str">
        <f>=IFERROR((IF(L33="",0,0.903*L33)+IF(K33="",0,0.88*K33)+IF(N33="",0,0.762*N33)+IF(M33="",0,0.74*M33))/(IF(L33="",0,0.903)+IF(K33="",0,0.88)+IF(N33="",0,0.762)+IF(M33="",0,0.74)),"")</f>
      </c>
      <c r="AY33" s="12" t="str">
        <f>=IF(O33="","",O33</f>
      </c>
      <c r="AZ33" s="12" t="str">
        <f>=IF(F33="","",IF(F33="Continuada",1,0))</f>
      </c>
      <c r="BA33" s="12" t="str">
        <f>=IF(G33="","",IF(G33="1r",1,0))</f>
      </c>
      <c r="BB33" s="12" t="str">
        <f>=IF(B33="","",B33)</f>
      </c>
      <c r="BC33" s="12" t="str">
        <f>=IF(E33="","",E33)</f>
      </c>
      <c r="BD33" s="12" t="str">
        <f>=IF(I33="","",IF(OR(I33="Estadística",I33="Doble Eco+Est",I33="Doble ADE+Soc",I33="Doble ADE+Mat",I33="Doble ADE+Dret",I33="Doble ADE+Qui"),1,0))</f>
      </c>
      <c r="BE33" s="12" t="str">
        <f>=IF(J33="","",IF(OR(J33="T.Parcial",J33="T.Complet"),1,0))</f>
      </c>
      <c r="BF33" s="12" t="str">
        <f>=IF(C33="","",C33)</f>
      </c>
      <c r="BG33" s="12" t="str">
        <f>=IF(D33="","",D33)</f>
      </c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Q34" s="12" t="str">
        <f>=IFERROR((IF(R34="",0,0.867*R34)+IF(S34="",0,0.854*S34)+IF(T34="",0,0.702*T34)+IF(U34="",0,0.561*U34)+IF(V34="",0,0.485*V34))/(IF(R34="",0,0.867)+IF(S34="",0,0.854)+IF(T34="",0,0.702)+IF(U34="",0,0.561)+IF(V34="",0,0.485)),"")</f>
      </c>
      <c r="AR34" s="12" t="str">
        <f>=IFERROR((IF(W34="",0,0.83*W34)+IF(X34="",0,0.739*X34)+IF(Y34="",0,0.607*Y34)+IF(Z34="",0,0.368*Z34)+IF(AA34="",0,0.335*AA34))/(IF(W34="",0,0.83)+IF(X34="",0,0.739)+IF(Y34="",0,0.607)+IF(Z34="",0,0.368)+IF(AA34="",0,0.335)),"")</f>
      </c>
      <c r="AS34" s="12" t="str">
        <f>=IFERROR((IF(AB34="",0,0.957*AB34)+IF(AC34="",0,0.84*AC34)+IF(AD34="",0,0.662*AD34))/(IF(AB34="",0,0.957)+IF(AC34="",0,0.84)+IF(AD34="",0,0.662)),"")</f>
      </c>
      <c r="AT34" s="12" t="str">
        <f>=IFERROR((IF(AE34="",0,0.985*AE34)+IF(AF34="",0,0.799*AF34)+IF(AG34="",0,0.782*AG34)+IF(AH34="",0,0.588*AH34))/(IF(AE34="",0,0.985)+IF(AF34="",0,0.799)+IF(AG34="",0,0.782)+IF(AH34="",0,0.588)),"")</f>
      </c>
      <c r="AU34" s="12" t="str">
        <f>=IFERROR((IF(AI34="",0,0.91*AI34)+IF(AJ34="",0,0.72*AJ34)+IF(AK34="",0,0.627*AK34)+IF(AL34="",0,0.385*AL34))/(IF(AI34="",0,0.91)+IF(AJ34="",0,0.72)+IF(AK34="",0,0.627)+IF(AL34="",0,0.385)),"")</f>
      </c>
      <c r="AV34" s="12" t="str">
        <f>=IFERROR((IF(AM34="",0,0.813*AM34)+IF(AN34="",0,0.665*AN34))/(IF(AM34="",0,0.813)+IF(AN34="",0,0.665)),"")</f>
      </c>
      <c r="AW34" s="12" t="str">
        <f>=IFERROR((IF(AO34="",0,0.863*AO34))/(IF(AO34="",0,0.863)),"")</f>
      </c>
      <c r="AX34" s="12" t="str">
        <f>=IFERROR((IF(L34="",0,0.903*L34)+IF(K34="",0,0.88*K34)+IF(N34="",0,0.762*N34)+IF(M34="",0,0.74*M34))/(IF(L34="",0,0.903)+IF(K34="",0,0.88)+IF(N34="",0,0.762)+IF(M34="",0,0.74)),"")</f>
      </c>
      <c r="AY34" s="12" t="str">
        <f>=IF(O34="","",O34</f>
      </c>
      <c r="AZ34" s="12" t="str">
        <f>=IF(F34="","",IF(F34="Continuada",1,0))</f>
      </c>
      <c r="BA34" s="12" t="str">
        <f>=IF(G34="","",IF(G34="1r",1,0))</f>
      </c>
      <c r="BB34" s="12" t="str">
        <f>=IF(B34="","",B34)</f>
      </c>
      <c r="BC34" s="12" t="str">
        <f>=IF(E34="","",E34)</f>
      </c>
      <c r="BD34" s="12" t="str">
        <f>=IF(I34="","",IF(OR(I34="Estadística",I34="Doble Eco+Est",I34="Doble ADE+Soc",I34="Doble ADE+Mat",I34="Doble ADE+Dret",I34="Doble ADE+Qui"),1,0))</f>
      </c>
      <c r="BE34" s="12" t="str">
        <f>=IF(J34="","",IF(OR(J34="T.Parcial",J34="T.Complet"),1,0))</f>
      </c>
      <c r="BF34" s="12" t="str">
        <f>=IF(C34="","",C34)</f>
      </c>
      <c r="BG34" s="12" t="str">
        <f>=IF(D34="","",D34)</f>
      </c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Q35" s="12" t="str">
        <f>=IFERROR((IF(R35="",0,0.867*R35)+IF(S35="",0,0.854*S35)+IF(T35="",0,0.702*T35)+IF(U35="",0,0.561*U35)+IF(V35="",0,0.485*V35))/(IF(R35="",0,0.867)+IF(S35="",0,0.854)+IF(T35="",0,0.702)+IF(U35="",0,0.561)+IF(V35="",0,0.485)),"")</f>
      </c>
      <c r="AR35" s="12" t="str">
        <f>=IFERROR((IF(W35="",0,0.83*W35)+IF(X35="",0,0.739*X35)+IF(Y35="",0,0.607*Y35)+IF(Z35="",0,0.368*Z35)+IF(AA35="",0,0.335*AA35))/(IF(W35="",0,0.83)+IF(X35="",0,0.739)+IF(Y35="",0,0.607)+IF(Z35="",0,0.368)+IF(AA35="",0,0.335)),"")</f>
      </c>
      <c r="AS35" s="12" t="str">
        <f>=IFERROR((IF(AB35="",0,0.957*AB35)+IF(AC35="",0,0.84*AC35)+IF(AD35="",0,0.662*AD35))/(IF(AB35="",0,0.957)+IF(AC35="",0,0.84)+IF(AD35="",0,0.662)),"")</f>
      </c>
      <c r="AT35" s="12" t="str">
        <f>=IFERROR((IF(AE35="",0,0.985*AE35)+IF(AF35="",0,0.799*AF35)+IF(AG35="",0,0.782*AG35)+IF(AH35="",0,0.588*AH35))/(IF(AE35="",0,0.985)+IF(AF35="",0,0.799)+IF(AG35="",0,0.782)+IF(AH35="",0,0.588)),"")</f>
      </c>
      <c r="AU35" s="12" t="str">
        <f>=IFERROR((IF(AI35="",0,0.91*AI35)+IF(AJ35="",0,0.72*AJ35)+IF(AK35="",0,0.627*AK35)+IF(AL35="",0,0.385*AL35))/(IF(AI35="",0,0.91)+IF(AJ35="",0,0.72)+IF(AK35="",0,0.627)+IF(AL35="",0,0.385)),"")</f>
      </c>
      <c r="AV35" s="12" t="str">
        <f>=IFERROR((IF(AM35="",0,0.813*AM35)+IF(AN35="",0,0.665*AN35))/(IF(AM35="",0,0.813)+IF(AN35="",0,0.665)),"")</f>
      </c>
      <c r="AW35" s="12" t="str">
        <f>=IFERROR((IF(AO35="",0,0.863*AO35))/(IF(AO35="",0,0.863)),"")</f>
      </c>
      <c r="AX35" s="12" t="str">
        <f>=IFERROR((IF(L35="",0,0.903*L35)+IF(K35="",0,0.88*K35)+IF(N35="",0,0.762*N35)+IF(M35="",0,0.74*M35))/(IF(L35="",0,0.903)+IF(K35="",0,0.88)+IF(N35="",0,0.762)+IF(M35="",0,0.74)),"")</f>
      </c>
      <c r="AY35" s="12" t="str">
        <f>=IF(O35="","",O35</f>
      </c>
      <c r="AZ35" s="12" t="str">
        <f>=IF(F35="","",IF(F35="Continuada",1,0))</f>
      </c>
      <c r="BA35" s="12" t="str">
        <f>=IF(G35="","",IF(G35="1r",1,0))</f>
      </c>
      <c r="BB35" s="12" t="str">
        <f>=IF(B35="","",B35)</f>
      </c>
      <c r="BC35" s="12" t="str">
        <f>=IF(E35="","",E35)</f>
      </c>
      <c r="BD35" s="12" t="str">
        <f>=IF(I35="","",IF(OR(I35="Estadística",I35="Doble Eco+Est",I35="Doble ADE+Soc",I35="Doble ADE+Mat",I35="Doble ADE+Dret",I35="Doble ADE+Qui"),1,0))</f>
      </c>
      <c r="BE35" s="12" t="str">
        <f>=IF(J35="","",IF(OR(J35="T.Parcial",J35="T.Complet"),1,0))</f>
      </c>
      <c r="BF35" s="12" t="str">
        <f>=IF(C35="","",C35)</f>
      </c>
      <c r="BG35" s="12" t="str">
        <f>=IF(D35="","",D35)</f>
      </c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Q36" s="12" t="str">
        <f>=IFERROR((IF(R36="",0,0.867*R36)+IF(S36="",0,0.854*S36)+IF(T36="",0,0.702*T36)+IF(U36="",0,0.561*U36)+IF(V36="",0,0.485*V36))/(IF(R36="",0,0.867)+IF(S36="",0,0.854)+IF(T36="",0,0.702)+IF(U36="",0,0.561)+IF(V36="",0,0.485)),"")</f>
      </c>
      <c r="AR36" s="12" t="str">
        <f>=IFERROR((IF(W36="",0,0.83*W36)+IF(X36="",0,0.739*X36)+IF(Y36="",0,0.607*Y36)+IF(Z36="",0,0.368*Z36)+IF(AA36="",0,0.335*AA36))/(IF(W36="",0,0.83)+IF(X36="",0,0.739)+IF(Y36="",0,0.607)+IF(Z36="",0,0.368)+IF(AA36="",0,0.335)),"")</f>
      </c>
      <c r="AS36" s="12" t="str">
        <f>=IFERROR((IF(AB36="",0,0.957*AB36)+IF(AC36="",0,0.84*AC36)+IF(AD36="",0,0.662*AD36))/(IF(AB36="",0,0.957)+IF(AC36="",0,0.84)+IF(AD36="",0,0.662)),"")</f>
      </c>
      <c r="AT36" s="12" t="str">
        <f>=IFERROR((IF(AE36="",0,0.985*AE36)+IF(AF36="",0,0.799*AF36)+IF(AG36="",0,0.782*AG36)+IF(AH36="",0,0.588*AH36))/(IF(AE36="",0,0.985)+IF(AF36="",0,0.799)+IF(AG36="",0,0.782)+IF(AH36="",0,0.588)),"")</f>
      </c>
      <c r="AU36" s="12" t="str">
        <f>=IFERROR((IF(AI36="",0,0.91*AI36)+IF(AJ36="",0,0.72*AJ36)+IF(AK36="",0,0.627*AK36)+IF(AL36="",0,0.385*AL36))/(IF(AI36="",0,0.91)+IF(AJ36="",0,0.72)+IF(AK36="",0,0.627)+IF(AL36="",0,0.385)),"")</f>
      </c>
      <c r="AV36" s="12" t="str">
        <f>=IFERROR((IF(AM36="",0,0.813*AM36)+IF(AN36="",0,0.665*AN36))/(IF(AM36="",0,0.813)+IF(AN36="",0,0.665)),"")</f>
      </c>
      <c r="AW36" s="12" t="str">
        <f>=IFERROR((IF(AO36="",0,0.863*AO36))/(IF(AO36="",0,0.863)),"")</f>
      </c>
      <c r="AX36" s="12" t="str">
        <f>=IFERROR((IF(L36="",0,0.903*L36)+IF(K36="",0,0.88*K36)+IF(N36="",0,0.762*N36)+IF(M36="",0,0.74*M36))/(IF(L36="",0,0.903)+IF(K36="",0,0.88)+IF(N36="",0,0.762)+IF(M36="",0,0.74)),"")</f>
      </c>
      <c r="AY36" s="12" t="str">
        <f>=IF(O36="","",O36</f>
      </c>
      <c r="AZ36" s="12" t="str">
        <f>=IF(F36="","",IF(F36="Continuada",1,0))</f>
      </c>
      <c r="BA36" s="12" t="str">
        <f>=IF(G36="","",IF(G36="1r",1,0))</f>
      </c>
      <c r="BB36" s="12" t="str">
        <f>=IF(B36="","",B36)</f>
      </c>
      <c r="BC36" s="12" t="str">
        <f>=IF(E36="","",E36)</f>
      </c>
      <c r="BD36" s="12" t="str">
        <f>=IF(I36="","",IF(OR(I36="Estadística",I36="Doble Eco+Est",I36="Doble ADE+Soc",I36="Doble ADE+Mat",I36="Doble ADE+Dret",I36="Doble ADE+Qui"),1,0))</f>
      </c>
      <c r="BE36" s="12" t="str">
        <f>=IF(J36="","",IF(OR(J36="T.Parcial",J36="T.Complet"),1,0))</f>
      </c>
      <c r="BF36" s="12" t="str">
        <f>=IF(C36="","",C36)</f>
      </c>
      <c r="BG36" s="12" t="str">
        <f>=IF(D36="","",D36)</f>
      </c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Q37" s="12" t="str">
        <f>=IFERROR((IF(R37="",0,0.867*R37)+IF(S37="",0,0.854*S37)+IF(T37="",0,0.702*T37)+IF(U37="",0,0.561*U37)+IF(V37="",0,0.485*V37))/(IF(R37="",0,0.867)+IF(S37="",0,0.854)+IF(T37="",0,0.702)+IF(U37="",0,0.561)+IF(V37="",0,0.485)),"")</f>
      </c>
      <c r="AR37" s="12" t="str">
        <f>=IFERROR((IF(W37="",0,0.83*W37)+IF(X37="",0,0.739*X37)+IF(Y37="",0,0.607*Y37)+IF(Z37="",0,0.368*Z37)+IF(AA37="",0,0.335*AA37))/(IF(W37="",0,0.83)+IF(X37="",0,0.739)+IF(Y37="",0,0.607)+IF(Z37="",0,0.368)+IF(AA37="",0,0.335)),"")</f>
      </c>
      <c r="AS37" s="12" t="str">
        <f>=IFERROR((IF(AB37="",0,0.957*AB37)+IF(AC37="",0,0.84*AC37)+IF(AD37="",0,0.662*AD37))/(IF(AB37="",0,0.957)+IF(AC37="",0,0.84)+IF(AD37="",0,0.662)),"")</f>
      </c>
      <c r="AT37" s="12" t="str">
        <f>=IFERROR((IF(AE37="",0,0.985*AE37)+IF(AF37="",0,0.799*AF37)+IF(AG37="",0,0.782*AG37)+IF(AH37="",0,0.588*AH37))/(IF(AE37="",0,0.985)+IF(AF37="",0,0.799)+IF(AG37="",0,0.782)+IF(AH37="",0,0.588)),"")</f>
      </c>
      <c r="AU37" s="12" t="str">
        <f>=IFERROR((IF(AI37="",0,0.91*AI37)+IF(AJ37="",0,0.72*AJ37)+IF(AK37="",0,0.627*AK37)+IF(AL37="",0,0.385*AL37))/(IF(AI37="",0,0.91)+IF(AJ37="",0,0.72)+IF(AK37="",0,0.627)+IF(AL37="",0,0.385)),"")</f>
      </c>
      <c r="AV37" s="12" t="str">
        <f>=IFERROR((IF(AM37="",0,0.813*AM37)+IF(AN37="",0,0.665*AN37))/(IF(AM37="",0,0.813)+IF(AN37="",0,0.665)),"")</f>
      </c>
      <c r="AW37" s="12" t="str">
        <f>=IFERROR((IF(AO37="",0,0.863*AO37))/(IF(AO37="",0,0.863)),"")</f>
      </c>
      <c r="AX37" s="12" t="str">
        <f>=IFERROR((IF(L37="",0,0.903*L37)+IF(K37="",0,0.88*K37)+IF(N37="",0,0.762*N37)+IF(M37="",0,0.74*M37))/(IF(L37="",0,0.903)+IF(K37="",0,0.88)+IF(N37="",0,0.762)+IF(M37="",0,0.74)),"")</f>
      </c>
      <c r="AY37" s="12" t="str">
        <f>=IF(O37="","",O37</f>
      </c>
      <c r="AZ37" s="12" t="str">
        <f>=IF(F37="","",IF(F37="Continuada",1,0))</f>
      </c>
      <c r="BA37" s="12" t="str">
        <f>=IF(G37="","",IF(G37="1r",1,0))</f>
      </c>
      <c r="BB37" s="12" t="str">
        <f>=IF(B37="","",B37)</f>
      </c>
      <c r="BC37" s="12" t="str">
        <f>=IF(E37="","",E37)</f>
      </c>
      <c r="BD37" s="12" t="str">
        <f>=IF(I37="","",IF(OR(I37="Estadística",I37="Doble Eco+Est",I37="Doble ADE+Soc",I37="Doble ADE+Mat",I37="Doble ADE+Dret",I37="Doble ADE+Qui"),1,0))</f>
      </c>
      <c r="BE37" s="12" t="str">
        <f>=IF(J37="","",IF(OR(J37="T.Parcial",J37="T.Complet"),1,0))</f>
      </c>
      <c r="BF37" s="12" t="str">
        <f>=IF(C37="","",C37)</f>
      </c>
      <c r="BG37" s="12" t="str">
        <f>=IF(D37="","",D37)</f>
      </c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Q38" s="12" t="str">
        <f>=IFERROR((IF(R38="",0,0.867*R38)+IF(S38="",0,0.854*S38)+IF(T38="",0,0.702*T38)+IF(U38="",0,0.561*U38)+IF(V38="",0,0.485*V38))/(IF(R38="",0,0.867)+IF(S38="",0,0.854)+IF(T38="",0,0.702)+IF(U38="",0,0.561)+IF(V38="",0,0.485)),"")</f>
      </c>
      <c r="AR38" s="12" t="str">
        <f>=IFERROR((IF(W38="",0,0.83*W38)+IF(X38="",0,0.739*X38)+IF(Y38="",0,0.607*Y38)+IF(Z38="",0,0.368*Z38)+IF(AA38="",0,0.335*AA38))/(IF(W38="",0,0.83)+IF(X38="",0,0.739)+IF(Y38="",0,0.607)+IF(Z38="",0,0.368)+IF(AA38="",0,0.335)),"")</f>
      </c>
      <c r="AS38" s="12" t="str">
        <f>=IFERROR((IF(AB38="",0,0.957*AB38)+IF(AC38="",0,0.84*AC38)+IF(AD38="",0,0.662*AD38))/(IF(AB38="",0,0.957)+IF(AC38="",0,0.84)+IF(AD38="",0,0.662)),"")</f>
      </c>
      <c r="AT38" s="12" t="str">
        <f>=IFERROR((IF(AE38="",0,0.985*AE38)+IF(AF38="",0,0.799*AF38)+IF(AG38="",0,0.782*AG38)+IF(AH38="",0,0.588*AH38))/(IF(AE38="",0,0.985)+IF(AF38="",0,0.799)+IF(AG38="",0,0.782)+IF(AH38="",0,0.588)),"")</f>
      </c>
      <c r="AU38" s="12" t="str">
        <f>=IFERROR((IF(AI38="",0,0.91*AI38)+IF(AJ38="",0,0.72*AJ38)+IF(AK38="",0,0.627*AK38)+IF(AL38="",0,0.385*AL38))/(IF(AI38="",0,0.91)+IF(AJ38="",0,0.72)+IF(AK38="",0,0.627)+IF(AL38="",0,0.385)),"")</f>
      </c>
      <c r="AV38" s="12" t="str">
        <f>=IFERROR((IF(AM38="",0,0.813*AM38)+IF(AN38="",0,0.665*AN38))/(IF(AM38="",0,0.813)+IF(AN38="",0,0.665)),"")</f>
      </c>
      <c r="AW38" s="12" t="str">
        <f>=IFERROR((IF(AO38="",0,0.863*AO38))/(IF(AO38="",0,0.863)),"")</f>
      </c>
      <c r="AX38" s="12" t="str">
        <f>=IFERROR((IF(L38="",0,0.903*L38)+IF(K38="",0,0.88*K38)+IF(N38="",0,0.762*N38)+IF(M38="",0,0.74*M38))/(IF(L38="",0,0.903)+IF(K38="",0,0.88)+IF(N38="",0,0.762)+IF(M38="",0,0.74)),"")</f>
      </c>
      <c r="AY38" s="12" t="str">
        <f>=IF(O38="","",O38</f>
      </c>
      <c r="AZ38" s="12" t="str">
        <f>=IF(F38="","",IF(F38="Continuada",1,0))</f>
      </c>
      <c r="BA38" s="12" t="str">
        <f>=IF(G38="","",IF(G38="1r",1,0))</f>
      </c>
      <c r="BB38" s="12" t="str">
        <f>=IF(B38="","",B38)</f>
      </c>
      <c r="BC38" s="12" t="str">
        <f>=IF(E38="","",E38)</f>
      </c>
      <c r="BD38" s="12" t="str">
        <f>=IF(I38="","",IF(OR(I38="Estadística",I38="Doble Eco+Est",I38="Doble ADE+Soc",I38="Doble ADE+Mat",I38="Doble ADE+Dret",I38="Doble ADE+Qui"),1,0))</f>
      </c>
      <c r="BE38" s="12" t="str">
        <f>=IF(J38="","",IF(OR(J38="T.Parcial",J38="T.Complet"),1,0))</f>
      </c>
      <c r="BF38" s="12" t="str">
        <f>=IF(C38="","",C38)</f>
      </c>
      <c r="BG38" s="12" t="str">
        <f>=IF(D38="","",D38)</f>
      </c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Q39" s="12" t="str">
        <f>=IFERROR((IF(R39="",0,0.867*R39)+IF(S39="",0,0.854*S39)+IF(T39="",0,0.702*T39)+IF(U39="",0,0.561*U39)+IF(V39="",0,0.485*V39))/(IF(R39="",0,0.867)+IF(S39="",0,0.854)+IF(T39="",0,0.702)+IF(U39="",0,0.561)+IF(V39="",0,0.485)),"")</f>
      </c>
      <c r="AR39" s="12" t="str">
        <f>=IFERROR((IF(W39="",0,0.83*W39)+IF(X39="",0,0.739*X39)+IF(Y39="",0,0.607*Y39)+IF(Z39="",0,0.368*Z39)+IF(AA39="",0,0.335*AA39))/(IF(W39="",0,0.83)+IF(X39="",0,0.739)+IF(Y39="",0,0.607)+IF(Z39="",0,0.368)+IF(AA39="",0,0.335)),"")</f>
      </c>
      <c r="AS39" s="12" t="str">
        <f>=IFERROR((IF(AB39="",0,0.957*AB39)+IF(AC39="",0,0.84*AC39)+IF(AD39="",0,0.662*AD39))/(IF(AB39="",0,0.957)+IF(AC39="",0,0.84)+IF(AD39="",0,0.662)),"")</f>
      </c>
      <c r="AT39" s="12" t="str">
        <f>=IFERROR((IF(AE39="",0,0.985*AE39)+IF(AF39="",0,0.799*AF39)+IF(AG39="",0,0.782*AG39)+IF(AH39="",0,0.588*AH39))/(IF(AE39="",0,0.985)+IF(AF39="",0,0.799)+IF(AG39="",0,0.782)+IF(AH39="",0,0.588)),"")</f>
      </c>
      <c r="AU39" s="12" t="str">
        <f>=IFERROR((IF(AI39="",0,0.91*AI39)+IF(AJ39="",0,0.72*AJ39)+IF(AK39="",0,0.627*AK39)+IF(AL39="",0,0.385*AL39))/(IF(AI39="",0,0.91)+IF(AJ39="",0,0.72)+IF(AK39="",0,0.627)+IF(AL39="",0,0.385)),"")</f>
      </c>
      <c r="AV39" s="12" t="str">
        <f>=IFERROR((IF(AM39="",0,0.813*AM39)+IF(AN39="",0,0.665*AN39))/(IF(AM39="",0,0.813)+IF(AN39="",0,0.665)),"")</f>
      </c>
      <c r="AW39" s="12" t="str">
        <f>=IFERROR((IF(AO39="",0,0.863*AO39))/(IF(AO39="",0,0.863)),"")</f>
      </c>
      <c r="AX39" s="12" t="str">
        <f>=IFERROR((IF(L39="",0,0.903*L39)+IF(K39="",0,0.88*K39)+IF(N39="",0,0.762*N39)+IF(M39="",0,0.74*M39))/(IF(L39="",0,0.903)+IF(K39="",0,0.88)+IF(N39="",0,0.762)+IF(M39="",0,0.74)),"")</f>
      </c>
      <c r="AY39" s="12" t="str">
        <f>=IF(O39="","",O39</f>
      </c>
      <c r="AZ39" s="12" t="str">
        <f>=IF(F39="","",IF(F39="Continuada",1,0))</f>
      </c>
      <c r="BA39" s="12" t="str">
        <f>=IF(G39="","",IF(G39="1r",1,0))</f>
      </c>
      <c r="BB39" s="12" t="str">
        <f>=IF(B39="","",B39)</f>
      </c>
      <c r="BC39" s="12" t="str">
        <f>=IF(E39="","",E39)</f>
      </c>
      <c r="BD39" s="12" t="str">
        <f>=IF(I39="","",IF(OR(I39="Estadística",I39="Doble Eco+Est",I39="Doble ADE+Soc",I39="Doble ADE+Mat",I39="Doble ADE+Dret",I39="Doble ADE+Qui"),1,0))</f>
      </c>
      <c r="BE39" s="12" t="str">
        <f>=IF(J39="","",IF(OR(J39="T.Parcial",J39="T.Complet"),1,0))</f>
      </c>
      <c r="BF39" s="12" t="str">
        <f>=IF(C39="","",C39)</f>
      </c>
      <c r="BG39" s="12" t="str">
        <f>=IF(D39="","",D39)</f>
      </c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Q40" s="12" t="str">
        <f>=IFERROR((IF(R40="",0,0.867*R40)+IF(S40="",0,0.854*S40)+IF(T40="",0,0.702*T40)+IF(U40="",0,0.561*U40)+IF(V40="",0,0.485*V40))/(IF(R40="",0,0.867)+IF(S40="",0,0.854)+IF(T40="",0,0.702)+IF(U40="",0,0.561)+IF(V40="",0,0.485)),"")</f>
      </c>
      <c r="AR40" s="12" t="str">
        <f>=IFERROR((IF(W40="",0,0.83*W40)+IF(X40="",0,0.739*X40)+IF(Y40="",0,0.607*Y40)+IF(Z40="",0,0.368*Z40)+IF(AA40="",0,0.335*AA40))/(IF(W40="",0,0.83)+IF(X40="",0,0.739)+IF(Y40="",0,0.607)+IF(Z40="",0,0.368)+IF(AA40="",0,0.335)),"")</f>
      </c>
      <c r="AS40" s="12" t="str">
        <f>=IFERROR((IF(AB40="",0,0.957*AB40)+IF(AC40="",0,0.84*AC40)+IF(AD40="",0,0.662*AD40))/(IF(AB40="",0,0.957)+IF(AC40="",0,0.84)+IF(AD40="",0,0.662)),"")</f>
      </c>
      <c r="AT40" s="12" t="str">
        <f>=IFERROR((IF(AE40="",0,0.985*AE40)+IF(AF40="",0,0.799*AF40)+IF(AG40="",0,0.782*AG40)+IF(AH40="",0,0.588*AH40))/(IF(AE40="",0,0.985)+IF(AF40="",0,0.799)+IF(AG40="",0,0.782)+IF(AH40="",0,0.588)),"")</f>
      </c>
      <c r="AU40" s="12" t="str">
        <f>=IFERROR((IF(AI40="",0,0.91*AI40)+IF(AJ40="",0,0.72*AJ40)+IF(AK40="",0,0.627*AK40)+IF(AL40="",0,0.385*AL40))/(IF(AI40="",0,0.91)+IF(AJ40="",0,0.72)+IF(AK40="",0,0.627)+IF(AL40="",0,0.385)),"")</f>
      </c>
      <c r="AV40" s="12" t="str">
        <f>=IFERROR((IF(AM40="",0,0.813*AM40)+IF(AN40="",0,0.665*AN40))/(IF(AM40="",0,0.813)+IF(AN40="",0,0.665)),"")</f>
      </c>
      <c r="AW40" s="12" t="str">
        <f>=IFERROR((IF(AO40="",0,0.863*AO40))/(IF(AO40="",0,0.863)),"")</f>
      </c>
      <c r="AX40" s="12" t="str">
        <f>=IFERROR((IF(L40="",0,0.903*L40)+IF(K40="",0,0.88*K40)+IF(N40="",0,0.762*N40)+IF(M40="",0,0.74*M40))/(IF(L40="",0,0.903)+IF(K40="",0,0.88)+IF(N40="",0,0.762)+IF(M40="",0,0.74)),"")</f>
      </c>
      <c r="AY40" s="12" t="str">
        <f>=IF(O40="","",O40</f>
      </c>
      <c r="AZ40" s="12" t="str">
        <f>=IF(F40="","",IF(F40="Continuada",1,0))</f>
      </c>
      <c r="BA40" s="12" t="str">
        <f>=IF(G40="","",IF(G40="1r",1,0))</f>
      </c>
      <c r="BB40" s="12" t="str">
        <f>=IF(B40="","",B40)</f>
      </c>
      <c r="BC40" s="12" t="str">
        <f>=IF(E40="","",E40)</f>
      </c>
      <c r="BD40" s="12" t="str">
        <f>=IF(I40="","",IF(OR(I40="Estadística",I40="Doble Eco+Est",I40="Doble ADE+Soc",I40="Doble ADE+Mat",I40="Doble ADE+Dret",I40="Doble ADE+Qui"),1,0))</f>
      </c>
      <c r="BE40" s="12" t="str">
        <f>=IF(J40="","",IF(OR(J40="T.Parcial",J40="T.Complet"),1,0))</f>
      </c>
      <c r="BF40" s="12" t="str">
        <f>=IF(C40="","",C40)</f>
      </c>
      <c r="BG40" s="12" t="str">
        <f>=IF(D40="","",D40)</f>
      </c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Q41" s="12" t="str">
        <f>=IFERROR((IF(R41="",0,0.867*R41)+IF(S41="",0,0.854*S41)+IF(T41="",0,0.702*T41)+IF(U41="",0,0.561*U41)+IF(V41="",0,0.485*V41))/(IF(R41="",0,0.867)+IF(S41="",0,0.854)+IF(T41="",0,0.702)+IF(U41="",0,0.561)+IF(V41="",0,0.485)),"")</f>
      </c>
      <c r="AR41" s="12" t="str">
        <f>=IFERROR((IF(W41="",0,0.83*W41)+IF(X41="",0,0.739*X41)+IF(Y41="",0,0.607*Y41)+IF(Z41="",0,0.368*Z41)+IF(AA41="",0,0.335*AA41))/(IF(W41="",0,0.83)+IF(X41="",0,0.739)+IF(Y41="",0,0.607)+IF(Z41="",0,0.368)+IF(AA41="",0,0.335)),"")</f>
      </c>
      <c r="AS41" s="12" t="str">
        <f>=IFERROR((IF(AB41="",0,0.957*AB41)+IF(AC41="",0,0.84*AC41)+IF(AD41="",0,0.662*AD41))/(IF(AB41="",0,0.957)+IF(AC41="",0,0.84)+IF(AD41="",0,0.662)),"")</f>
      </c>
      <c r="AT41" s="12" t="str">
        <f>=IFERROR((IF(AE41="",0,0.985*AE41)+IF(AF41="",0,0.799*AF41)+IF(AG41="",0,0.782*AG41)+IF(AH41="",0,0.588*AH41))/(IF(AE41="",0,0.985)+IF(AF41="",0,0.799)+IF(AG41="",0,0.782)+IF(AH41="",0,0.588)),"")</f>
      </c>
      <c r="AU41" s="12" t="str">
        <f>=IFERROR((IF(AI41="",0,0.91*AI41)+IF(AJ41="",0,0.72*AJ41)+IF(AK41="",0,0.627*AK41)+IF(AL41="",0,0.385*AL41))/(IF(AI41="",0,0.91)+IF(AJ41="",0,0.72)+IF(AK41="",0,0.627)+IF(AL41="",0,0.385)),"")</f>
      </c>
      <c r="AV41" s="12" t="str">
        <f>=IFERROR((IF(AM41="",0,0.813*AM41)+IF(AN41="",0,0.665*AN41))/(IF(AM41="",0,0.813)+IF(AN41="",0,0.665)),"")</f>
      </c>
      <c r="AW41" s="12" t="str">
        <f>=IFERROR((IF(AO41="",0,0.863*AO41))/(IF(AO41="",0,0.863)),"")</f>
      </c>
      <c r="AX41" s="12" t="str">
        <f>=IFERROR((IF(L41="",0,0.903*L41)+IF(K41="",0,0.88*K41)+IF(N41="",0,0.762*N41)+IF(M41="",0,0.74*M41))/(IF(L41="",0,0.903)+IF(K41="",0,0.88)+IF(N41="",0,0.762)+IF(M41="",0,0.74)),"")</f>
      </c>
      <c r="AY41" s="12" t="str">
        <f>=IF(O41="","",O41</f>
      </c>
      <c r="AZ41" s="12" t="str">
        <f>=IF(F41="","",IF(F41="Continuada",1,0))</f>
      </c>
      <c r="BA41" s="12" t="str">
        <f>=IF(G41="","",IF(G41="1r",1,0))</f>
      </c>
      <c r="BB41" s="12" t="str">
        <f>=IF(B41="","",B41)</f>
      </c>
      <c r="BC41" s="12" t="str">
        <f>=IF(E41="","",E41)</f>
      </c>
      <c r="BD41" s="12" t="str">
        <f>=IF(I41="","",IF(OR(I41="Estadística",I41="Doble Eco+Est",I41="Doble ADE+Soc",I41="Doble ADE+Mat",I41="Doble ADE+Dret",I41="Doble ADE+Qui"),1,0))</f>
      </c>
      <c r="BE41" s="12" t="str">
        <f>=IF(J41="","",IF(OR(J41="T.Parcial",J41="T.Complet"),1,0))</f>
      </c>
      <c r="BF41" s="12" t="str">
        <f>=IF(C41="","",C41)</f>
      </c>
      <c r="BG41" s="12" t="str">
        <f>=IF(D41="","",D41)</f>
      </c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Q42" s="12" t="str">
        <f>=IFERROR((IF(R42="",0,0.867*R42)+IF(S42="",0,0.854*S42)+IF(T42="",0,0.702*T42)+IF(U42="",0,0.561*U42)+IF(V42="",0,0.485*V42))/(IF(R42="",0,0.867)+IF(S42="",0,0.854)+IF(T42="",0,0.702)+IF(U42="",0,0.561)+IF(V42="",0,0.485)),"")</f>
      </c>
      <c r="AR42" s="12" t="str">
        <f>=IFERROR((IF(W42="",0,0.83*W42)+IF(X42="",0,0.739*X42)+IF(Y42="",0,0.607*Y42)+IF(Z42="",0,0.368*Z42)+IF(AA42="",0,0.335*AA42))/(IF(W42="",0,0.83)+IF(X42="",0,0.739)+IF(Y42="",0,0.607)+IF(Z42="",0,0.368)+IF(AA42="",0,0.335)),"")</f>
      </c>
      <c r="AS42" s="12" t="str">
        <f>=IFERROR((IF(AB42="",0,0.957*AB42)+IF(AC42="",0,0.84*AC42)+IF(AD42="",0,0.662*AD42))/(IF(AB42="",0,0.957)+IF(AC42="",0,0.84)+IF(AD42="",0,0.662)),"")</f>
      </c>
      <c r="AT42" s="12" t="str">
        <f>=IFERROR((IF(AE42="",0,0.985*AE42)+IF(AF42="",0,0.799*AF42)+IF(AG42="",0,0.782*AG42)+IF(AH42="",0,0.588*AH42))/(IF(AE42="",0,0.985)+IF(AF42="",0,0.799)+IF(AG42="",0,0.782)+IF(AH42="",0,0.588)),"")</f>
      </c>
      <c r="AU42" s="12" t="str">
        <f>=IFERROR((IF(AI42="",0,0.91*AI42)+IF(AJ42="",0,0.72*AJ42)+IF(AK42="",0,0.627*AK42)+IF(AL42="",0,0.385*AL42))/(IF(AI42="",0,0.91)+IF(AJ42="",0,0.72)+IF(AK42="",0,0.627)+IF(AL42="",0,0.385)),"")</f>
      </c>
      <c r="AV42" s="12" t="str">
        <f>=IFERROR((IF(AM42="",0,0.813*AM42)+IF(AN42="",0,0.665*AN42))/(IF(AM42="",0,0.813)+IF(AN42="",0,0.665)),"")</f>
      </c>
      <c r="AW42" s="12" t="str">
        <f>=IFERROR((IF(AO42="",0,0.863*AO42))/(IF(AO42="",0,0.863)),"")</f>
      </c>
      <c r="AX42" s="12" t="str">
        <f>=IFERROR((IF(L42="",0,0.903*L42)+IF(K42="",0,0.88*K42)+IF(N42="",0,0.762*N42)+IF(M42="",0,0.74*M42))/(IF(L42="",0,0.903)+IF(K42="",0,0.88)+IF(N42="",0,0.762)+IF(M42="",0,0.74)),"")</f>
      </c>
      <c r="AY42" s="12" t="str">
        <f>=IF(O42="","",O42</f>
      </c>
      <c r="AZ42" s="12" t="str">
        <f>=IF(F42="","",IF(F42="Continuada",1,0))</f>
      </c>
      <c r="BA42" s="12" t="str">
        <f>=IF(G42="","",IF(G42="1r",1,0))</f>
      </c>
      <c r="BB42" s="12" t="str">
        <f>=IF(B42="","",B42)</f>
      </c>
      <c r="BC42" s="12" t="str">
        <f>=IF(E42="","",E42)</f>
      </c>
      <c r="BD42" s="12" t="str">
        <f>=IF(I42="","",IF(OR(I42="Estadística",I42="Doble Eco+Est",I42="Doble ADE+Soc",I42="Doble ADE+Mat",I42="Doble ADE+Dret",I42="Doble ADE+Qui"),1,0))</f>
      </c>
      <c r="BE42" s="12" t="str">
        <f>=IF(J42="","",IF(OR(J42="T.Parcial",J42="T.Complet"),1,0))</f>
      </c>
      <c r="BF42" s="12" t="str">
        <f>=IF(C42="","",C42)</f>
      </c>
      <c r="BG42" s="12" t="str">
        <f>=IF(D42="","",D42)</f>
      </c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Q43" s="12" t="str">
        <f>=IFERROR((IF(R43="",0,0.867*R43)+IF(S43="",0,0.854*S43)+IF(T43="",0,0.702*T43)+IF(U43="",0,0.561*U43)+IF(V43="",0,0.485*V43))/(IF(R43="",0,0.867)+IF(S43="",0,0.854)+IF(T43="",0,0.702)+IF(U43="",0,0.561)+IF(V43="",0,0.485)),"")</f>
      </c>
      <c r="AR43" s="12" t="str">
        <f>=IFERROR((IF(W43="",0,0.83*W43)+IF(X43="",0,0.739*X43)+IF(Y43="",0,0.607*Y43)+IF(Z43="",0,0.368*Z43)+IF(AA43="",0,0.335*AA43))/(IF(W43="",0,0.83)+IF(X43="",0,0.739)+IF(Y43="",0,0.607)+IF(Z43="",0,0.368)+IF(AA43="",0,0.335)),"")</f>
      </c>
      <c r="AS43" s="12" t="str">
        <f>=IFERROR((IF(AB43="",0,0.957*AB43)+IF(AC43="",0,0.84*AC43)+IF(AD43="",0,0.662*AD43))/(IF(AB43="",0,0.957)+IF(AC43="",0,0.84)+IF(AD43="",0,0.662)),"")</f>
      </c>
      <c r="AT43" s="12" t="str">
        <f>=IFERROR((IF(AE43="",0,0.985*AE43)+IF(AF43="",0,0.799*AF43)+IF(AG43="",0,0.782*AG43)+IF(AH43="",0,0.588*AH43))/(IF(AE43="",0,0.985)+IF(AF43="",0,0.799)+IF(AG43="",0,0.782)+IF(AH43="",0,0.588)),"")</f>
      </c>
      <c r="AU43" s="12" t="str">
        <f>=IFERROR((IF(AI43="",0,0.91*AI43)+IF(AJ43="",0,0.72*AJ43)+IF(AK43="",0,0.627*AK43)+IF(AL43="",0,0.385*AL43))/(IF(AI43="",0,0.91)+IF(AJ43="",0,0.72)+IF(AK43="",0,0.627)+IF(AL43="",0,0.385)),"")</f>
      </c>
      <c r="AV43" s="12" t="str">
        <f>=IFERROR((IF(AM43="",0,0.813*AM43)+IF(AN43="",0,0.665*AN43))/(IF(AM43="",0,0.813)+IF(AN43="",0,0.665)),"")</f>
      </c>
      <c r="AW43" s="12" t="str">
        <f>=IFERROR((IF(AO43="",0,0.863*AO43))/(IF(AO43="",0,0.863)),"")</f>
      </c>
      <c r="AX43" s="12" t="str">
        <f>=IFERROR((IF(L43="",0,0.903*L43)+IF(K43="",0,0.88*K43)+IF(N43="",0,0.762*N43)+IF(M43="",0,0.74*M43))/(IF(L43="",0,0.903)+IF(K43="",0,0.88)+IF(N43="",0,0.762)+IF(M43="",0,0.74)),"")</f>
      </c>
      <c r="AY43" s="12" t="str">
        <f>=IF(O43="","",O43</f>
      </c>
      <c r="AZ43" s="12" t="str">
        <f>=IF(F43="","",IF(F43="Continuada",1,0))</f>
      </c>
      <c r="BA43" s="12" t="str">
        <f>=IF(G43="","",IF(G43="1r",1,0))</f>
      </c>
      <c r="BB43" s="12" t="str">
        <f>=IF(B43="","",B43)</f>
      </c>
      <c r="BC43" s="12" t="str">
        <f>=IF(E43="","",E43)</f>
      </c>
      <c r="BD43" s="12" t="str">
        <f>=IF(I43="","",IF(OR(I43="Estadística",I43="Doble Eco+Est",I43="Doble ADE+Soc",I43="Doble ADE+Mat",I43="Doble ADE+Dret",I43="Doble ADE+Qui"),1,0))</f>
      </c>
      <c r="BE43" s="12" t="str">
        <f>=IF(J43="","",IF(OR(J43="T.Parcial",J43="T.Complet"),1,0))</f>
      </c>
      <c r="BF43" s="12" t="str">
        <f>=IF(C43="","",C43)</f>
      </c>
      <c r="BG43" s="12" t="str">
        <f>=IF(D43="","",D43)</f>
      </c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Q44" s="12" t="str">
        <f>=IFERROR((IF(R44="",0,0.867*R44)+IF(S44="",0,0.854*S44)+IF(T44="",0,0.702*T44)+IF(U44="",0,0.561*U44)+IF(V44="",0,0.485*V44))/(IF(R44="",0,0.867)+IF(S44="",0,0.854)+IF(T44="",0,0.702)+IF(U44="",0,0.561)+IF(V44="",0,0.485)),"")</f>
      </c>
      <c r="AR44" s="12" t="str">
        <f>=IFERROR((IF(W44="",0,0.83*W44)+IF(X44="",0,0.739*X44)+IF(Y44="",0,0.607*Y44)+IF(Z44="",0,0.368*Z44)+IF(AA44="",0,0.335*AA44))/(IF(W44="",0,0.83)+IF(X44="",0,0.739)+IF(Y44="",0,0.607)+IF(Z44="",0,0.368)+IF(AA44="",0,0.335)),"")</f>
      </c>
      <c r="AS44" s="12" t="str">
        <f>=IFERROR((IF(AB44="",0,0.957*AB44)+IF(AC44="",0,0.84*AC44)+IF(AD44="",0,0.662*AD44))/(IF(AB44="",0,0.957)+IF(AC44="",0,0.84)+IF(AD44="",0,0.662)),"")</f>
      </c>
      <c r="AT44" s="12" t="str">
        <f>=IFERROR((IF(AE44="",0,0.985*AE44)+IF(AF44="",0,0.799*AF44)+IF(AG44="",0,0.782*AG44)+IF(AH44="",0,0.588*AH44))/(IF(AE44="",0,0.985)+IF(AF44="",0,0.799)+IF(AG44="",0,0.782)+IF(AH44="",0,0.588)),"")</f>
      </c>
      <c r="AU44" s="12" t="str">
        <f>=IFERROR((IF(AI44="",0,0.91*AI44)+IF(AJ44="",0,0.72*AJ44)+IF(AK44="",0,0.627*AK44)+IF(AL44="",0,0.385*AL44))/(IF(AI44="",0,0.91)+IF(AJ44="",0,0.72)+IF(AK44="",0,0.627)+IF(AL44="",0,0.385)),"")</f>
      </c>
      <c r="AV44" s="12" t="str">
        <f>=IFERROR((IF(AM44="",0,0.813*AM44)+IF(AN44="",0,0.665*AN44))/(IF(AM44="",0,0.813)+IF(AN44="",0,0.665)),"")</f>
      </c>
      <c r="AW44" s="12" t="str">
        <f>=IFERROR((IF(AO44="",0,0.863*AO44))/(IF(AO44="",0,0.863)),"")</f>
      </c>
      <c r="AX44" s="12" t="str">
        <f>=IFERROR((IF(L44="",0,0.903*L44)+IF(K44="",0,0.88*K44)+IF(N44="",0,0.762*N44)+IF(M44="",0,0.74*M44))/(IF(L44="",0,0.903)+IF(K44="",0,0.88)+IF(N44="",0,0.762)+IF(M44="",0,0.74)),"")</f>
      </c>
      <c r="AY44" s="12" t="str">
        <f>=IF(O44="","",O44</f>
      </c>
      <c r="AZ44" s="12" t="str">
        <f>=IF(F44="","",IF(F44="Continuada",1,0))</f>
      </c>
      <c r="BA44" s="12" t="str">
        <f>=IF(G44="","",IF(G44="1r",1,0))</f>
      </c>
      <c r="BB44" s="12" t="str">
        <f>=IF(B44="","",B44)</f>
      </c>
      <c r="BC44" s="12" t="str">
        <f>=IF(E44="","",E44)</f>
      </c>
      <c r="BD44" s="12" t="str">
        <f>=IF(I44="","",IF(OR(I44="Estadística",I44="Doble Eco+Est",I44="Doble ADE+Soc",I44="Doble ADE+Mat",I44="Doble ADE+Dret",I44="Doble ADE+Qui"),1,0))</f>
      </c>
      <c r="BE44" s="12" t="str">
        <f>=IF(J44="","",IF(OR(J44="T.Parcial",J44="T.Complet"),1,0))</f>
      </c>
      <c r="BF44" s="12" t="str">
        <f>=IF(C44="","",C44)</f>
      </c>
      <c r="BG44" s="12" t="str">
        <f>=IF(D44="","",D44)</f>
      </c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Q45" s="12" t="str">
        <f>=IFERROR((IF(R45="",0,0.867*R45)+IF(S45="",0,0.854*S45)+IF(T45="",0,0.702*T45)+IF(U45="",0,0.561*U45)+IF(V45="",0,0.485*V45))/(IF(R45="",0,0.867)+IF(S45="",0,0.854)+IF(T45="",0,0.702)+IF(U45="",0,0.561)+IF(V45="",0,0.485)),"")</f>
      </c>
      <c r="AR45" s="12" t="str">
        <f>=IFERROR((IF(W45="",0,0.83*W45)+IF(X45="",0,0.739*X45)+IF(Y45="",0,0.607*Y45)+IF(Z45="",0,0.368*Z45)+IF(AA45="",0,0.335*AA45))/(IF(W45="",0,0.83)+IF(X45="",0,0.739)+IF(Y45="",0,0.607)+IF(Z45="",0,0.368)+IF(AA45="",0,0.335)),"")</f>
      </c>
      <c r="AS45" s="12" t="str">
        <f>=IFERROR((IF(AB45="",0,0.957*AB45)+IF(AC45="",0,0.84*AC45)+IF(AD45="",0,0.662*AD45))/(IF(AB45="",0,0.957)+IF(AC45="",0,0.84)+IF(AD45="",0,0.662)),"")</f>
      </c>
      <c r="AT45" s="12" t="str">
        <f>=IFERROR((IF(AE45="",0,0.985*AE45)+IF(AF45="",0,0.799*AF45)+IF(AG45="",0,0.782*AG45)+IF(AH45="",0,0.588*AH45))/(IF(AE45="",0,0.985)+IF(AF45="",0,0.799)+IF(AG45="",0,0.782)+IF(AH45="",0,0.588)),"")</f>
      </c>
      <c r="AU45" s="12" t="str">
        <f>=IFERROR((IF(AI45="",0,0.91*AI45)+IF(AJ45="",0,0.72*AJ45)+IF(AK45="",0,0.627*AK45)+IF(AL45="",0,0.385*AL45))/(IF(AI45="",0,0.91)+IF(AJ45="",0,0.72)+IF(AK45="",0,0.627)+IF(AL45="",0,0.385)),"")</f>
      </c>
      <c r="AV45" s="12" t="str">
        <f>=IFERROR((IF(AM45="",0,0.813*AM45)+IF(AN45="",0,0.665*AN45))/(IF(AM45="",0,0.813)+IF(AN45="",0,0.665)),"")</f>
      </c>
      <c r="AW45" s="12" t="str">
        <f>=IFERROR((IF(AO45="",0,0.863*AO45))/(IF(AO45="",0,0.863)),"")</f>
      </c>
      <c r="AX45" s="12" t="str">
        <f>=IFERROR((IF(L45="",0,0.903*L45)+IF(K45="",0,0.88*K45)+IF(N45="",0,0.762*N45)+IF(M45="",0,0.74*M45))/(IF(L45="",0,0.903)+IF(K45="",0,0.88)+IF(N45="",0,0.762)+IF(M45="",0,0.74)),"")</f>
      </c>
      <c r="AY45" s="12" t="str">
        <f>=IF(O45="","",O45</f>
      </c>
      <c r="AZ45" s="12" t="str">
        <f>=IF(F45="","",IF(F45="Continuada",1,0))</f>
      </c>
      <c r="BA45" s="12" t="str">
        <f>=IF(G45="","",IF(G45="1r",1,0))</f>
      </c>
      <c r="BB45" s="12" t="str">
        <f>=IF(B45="","",B45)</f>
      </c>
      <c r="BC45" s="12" t="str">
        <f>=IF(E45="","",E45)</f>
      </c>
      <c r="BD45" s="12" t="str">
        <f>=IF(I45="","",IF(OR(I45="Estadística",I45="Doble Eco+Est",I45="Doble ADE+Soc",I45="Doble ADE+Mat",I45="Doble ADE+Dret",I45="Doble ADE+Qui"),1,0))</f>
      </c>
      <c r="BE45" s="12" t="str">
        <f>=IF(J45="","",IF(OR(J45="T.Parcial",J45="T.Complet"),1,0))</f>
      </c>
      <c r="BF45" s="12" t="str">
        <f>=IF(C45="","",C45)</f>
      </c>
      <c r="BG45" s="12" t="str">
        <f>=IF(D45="","",D45)</f>
      </c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Q46" s="12" t="str">
        <f>=IFERROR((IF(R46="",0,0.867*R46)+IF(S46="",0,0.854*S46)+IF(T46="",0,0.702*T46)+IF(U46="",0,0.561*U46)+IF(V46="",0,0.485*V46))/(IF(R46="",0,0.867)+IF(S46="",0,0.854)+IF(T46="",0,0.702)+IF(U46="",0,0.561)+IF(V46="",0,0.485)),"")</f>
      </c>
      <c r="AR46" s="12" t="str">
        <f>=IFERROR((IF(W46="",0,0.83*W46)+IF(X46="",0,0.739*X46)+IF(Y46="",0,0.607*Y46)+IF(Z46="",0,0.368*Z46)+IF(AA46="",0,0.335*AA46))/(IF(W46="",0,0.83)+IF(X46="",0,0.739)+IF(Y46="",0,0.607)+IF(Z46="",0,0.368)+IF(AA46="",0,0.335)),"")</f>
      </c>
      <c r="AS46" s="12" t="str">
        <f>=IFERROR((IF(AB46="",0,0.957*AB46)+IF(AC46="",0,0.84*AC46)+IF(AD46="",0,0.662*AD46))/(IF(AB46="",0,0.957)+IF(AC46="",0,0.84)+IF(AD46="",0,0.662)),"")</f>
      </c>
      <c r="AT46" s="12" t="str">
        <f>=IFERROR((IF(AE46="",0,0.985*AE46)+IF(AF46="",0,0.799*AF46)+IF(AG46="",0,0.782*AG46)+IF(AH46="",0,0.588*AH46))/(IF(AE46="",0,0.985)+IF(AF46="",0,0.799)+IF(AG46="",0,0.782)+IF(AH46="",0,0.588)),"")</f>
      </c>
      <c r="AU46" s="12" t="str">
        <f>=IFERROR((IF(AI46="",0,0.91*AI46)+IF(AJ46="",0,0.72*AJ46)+IF(AK46="",0,0.627*AK46)+IF(AL46="",0,0.385*AL46))/(IF(AI46="",0,0.91)+IF(AJ46="",0,0.72)+IF(AK46="",0,0.627)+IF(AL46="",0,0.385)),"")</f>
      </c>
      <c r="AV46" s="12" t="str">
        <f>=IFERROR((IF(AM46="",0,0.813*AM46)+IF(AN46="",0,0.665*AN46))/(IF(AM46="",0,0.813)+IF(AN46="",0,0.665)),"")</f>
      </c>
      <c r="AW46" s="12" t="str">
        <f>=IFERROR((IF(AO46="",0,0.863*AO46))/(IF(AO46="",0,0.863)),"")</f>
      </c>
      <c r="AX46" s="12" t="str">
        <f>=IFERROR((IF(L46="",0,0.903*L46)+IF(K46="",0,0.88*K46)+IF(N46="",0,0.762*N46)+IF(M46="",0,0.74*M46))/(IF(L46="",0,0.903)+IF(K46="",0,0.88)+IF(N46="",0,0.762)+IF(M46="",0,0.74)),"")</f>
      </c>
      <c r="AY46" s="12" t="str">
        <f>=IF(O46="","",O46</f>
      </c>
      <c r="AZ46" s="12" t="str">
        <f>=IF(F46="","",IF(F46="Continuada",1,0))</f>
      </c>
      <c r="BA46" s="12" t="str">
        <f>=IF(G46="","",IF(G46="1r",1,0))</f>
      </c>
      <c r="BB46" s="12" t="str">
        <f>=IF(B46="","",B46)</f>
      </c>
      <c r="BC46" s="12" t="str">
        <f>=IF(E46="","",E46)</f>
      </c>
      <c r="BD46" s="12" t="str">
        <f>=IF(I46="","",IF(OR(I46="Estadística",I46="Doble Eco+Est",I46="Doble ADE+Soc",I46="Doble ADE+Mat",I46="Doble ADE+Dret",I46="Doble ADE+Qui"),1,0))</f>
      </c>
      <c r="BE46" s="12" t="str">
        <f>=IF(J46="","",IF(OR(J46="T.Parcial",J46="T.Complet"),1,0))</f>
      </c>
      <c r="BF46" s="12" t="str">
        <f>=IF(C46="","",C46)</f>
      </c>
      <c r="BG46" s="12" t="str">
        <f>=IF(D46="","",D46)</f>
      </c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Q47" s="12" t="str">
        <f>=IFERROR((IF(R47="",0,0.867*R47)+IF(S47="",0,0.854*S47)+IF(T47="",0,0.702*T47)+IF(U47="",0,0.561*U47)+IF(V47="",0,0.485*V47))/(IF(R47="",0,0.867)+IF(S47="",0,0.854)+IF(T47="",0,0.702)+IF(U47="",0,0.561)+IF(V47="",0,0.485)),"")</f>
      </c>
      <c r="AR47" s="12" t="str">
        <f>=IFERROR((IF(W47="",0,0.83*W47)+IF(X47="",0,0.739*X47)+IF(Y47="",0,0.607*Y47)+IF(Z47="",0,0.368*Z47)+IF(AA47="",0,0.335*AA47))/(IF(W47="",0,0.83)+IF(X47="",0,0.739)+IF(Y47="",0,0.607)+IF(Z47="",0,0.368)+IF(AA47="",0,0.335)),"")</f>
      </c>
      <c r="AS47" s="12" t="str">
        <f>=IFERROR((IF(AB47="",0,0.957*AB47)+IF(AC47="",0,0.84*AC47)+IF(AD47="",0,0.662*AD47))/(IF(AB47="",0,0.957)+IF(AC47="",0,0.84)+IF(AD47="",0,0.662)),"")</f>
      </c>
      <c r="AT47" s="12" t="str">
        <f>=IFERROR((IF(AE47="",0,0.985*AE47)+IF(AF47="",0,0.799*AF47)+IF(AG47="",0,0.782*AG47)+IF(AH47="",0,0.588*AH47))/(IF(AE47="",0,0.985)+IF(AF47="",0,0.799)+IF(AG47="",0,0.782)+IF(AH47="",0,0.588)),"")</f>
      </c>
      <c r="AU47" s="12" t="str">
        <f>=IFERROR((IF(AI47="",0,0.91*AI47)+IF(AJ47="",0,0.72*AJ47)+IF(AK47="",0,0.627*AK47)+IF(AL47="",0,0.385*AL47))/(IF(AI47="",0,0.91)+IF(AJ47="",0,0.72)+IF(AK47="",0,0.627)+IF(AL47="",0,0.385)),"")</f>
      </c>
      <c r="AV47" s="12" t="str">
        <f>=IFERROR((IF(AM47="",0,0.813*AM47)+IF(AN47="",0,0.665*AN47))/(IF(AM47="",0,0.813)+IF(AN47="",0,0.665)),"")</f>
      </c>
      <c r="AW47" s="12" t="str">
        <f>=IFERROR((IF(AO47="",0,0.863*AO47))/(IF(AO47="",0,0.863)),"")</f>
      </c>
      <c r="AX47" s="12" t="str">
        <f>=IFERROR((IF(L47="",0,0.903*L47)+IF(K47="",0,0.88*K47)+IF(N47="",0,0.762*N47)+IF(M47="",0,0.74*M47))/(IF(L47="",0,0.903)+IF(K47="",0,0.88)+IF(N47="",0,0.762)+IF(M47="",0,0.74)),"")</f>
      </c>
      <c r="AY47" s="12" t="str">
        <f>=IF(O47="","",O47</f>
      </c>
      <c r="AZ47" s="12" t="str">
        <f>=IF(F47="","",IF(F47="Continuada",1,0))</f>
      </c>
      <c r="BA47" s="12" t="str">
        <f>=IF(G47="","",IF(G47="1r",1,0))</f>
      </c>
      <c r="BB47" s="12" t="str">
        <f>=IF(B47="","",B47)</f>
      </c>
      <c r="BC47" s="12" t="str">
        <f>=IF(E47="","",E47)</f>
      </c>
      <c r="BD47" s="12" t="str">
        <f>=IF(I47="","",IF(OR(I47="Estadística",I47="Doble Eco+Est",I47="Doble ADE+Soc",I47="Doble ADE+Mat",I47="Doble ADE+Dret",I47="Doble ADE+Qui"),1,0))</f>
      </c>
      <c r="BE47" s="12" t="str">
        <f>=IF(J47="","",IF(OR(J47="T.Parcial",J47="T.Complet"),1,0))</f>
      </c>
      <c r="BF47" s="12" t="str">
        <f>=IF(C47="","",C47)</f>
      </c>
      <c r="BG47" s="12" t="str">
        <f>=IF(D47="","",D47)</f>
      </c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Q48" s="12" t="str">
        <f>=IFERROR((IF(R48="",0,0.867*R48)+IF(S48="",0,0.854*S48)+IF(T48="",0,0.702*T48)+IF(U48="",0,0.561*U48)+IF(V48="",0,0.485*V48))/(IF(R48="",0,0.867)+IF(S48="",0,0.854)+IF(T48="",0,0.702)+IF(U48="",0,0.561)+IF(V48="",0,0.485)),"")</f>
      </c>
      <c r="AR48" s="12" t="str">
        <f>=IFERROR((IF(W48="",0,0.83*W48)+IF(X48="",0,0.739*X48)+IF(Y48="",0,0.607*Y48)+IF(Z48="",0,0.368*Z48)+IF(AA48="",0,0.335*AA48))/(IF(W48="",0,0.83)+IF(X48="",0,0.739)+IF(Y48="",0,0.607)+IF(Z48="",0,0.368)+IF(AA48="",0,0.335)),"")</f>
      </c>
      <c r="AS48" s="12" t="str">
        <f>=IFERROR((IF(AB48="",0,0.957*AB48)+IF(AC48="",0,0.84*AC48)+IF(AD48="",0,0.662*AD48))/(IF(AB48="",0,0.957)+IF(AC48="",0,0.84)+IF(AD48="",0,0.662)),"")</f>
      </c>
      <c r="AT48" s="12" t="str">
        <f>=IFERROR((IF(AE48="",0,0.985*AE48)+IF(AF48="",0,0.799*AF48)+IF(AG48="",0,0.782*AG48)+IF(AH48="",0,0.588*AH48))/(IF(AE48="",0,0.985)+IF(AF48="",0,0.799)+IF(AG48="",0,0.782)+IF(AH48="",0,0.588)),"")</f>
      </c>
      <c r="AU48" s="12" t="str">
        <f>=IFERROR((IF(AI48="",0,0.91*AI48)+IF(AJ48="",0,0.72*AJ48)+IF(AK48="",0,0.627*AK48)+IF(AL48="",0,0.385*AL48))/(IF(AI48="",0,0.91)+IF(AJ48="",0,0.72)+IF(AK48="",0,0.627)+IF(AL48="",0,0.385)),"")</f>
      </c>
      <c r="AV48" s="12" t="str">
        <f>=IFERROR((IF(AM48="",0,0.813*AM48)+IF(AN48="",0,0.665*AN48))/(IF(AM48="",0,0.813)+IF(AN48="",0,0.665)),"")</f>
      </c>
      <c r="AW48" s="12" t="str">
        <f>=IFERROR((IF(AO48="",0,0.863*AO48))/(IF(AO48="",0,0.863)),"")</f>
      </c>
      <c r="AX48" s="12" t="str">
        <f>=IFERROR((IF(L48="",0,0.903*L48)+IF(K48="",0,0.88*K48)+IF(N48="",0,0.762*N48)+IF(M48="",0,0.74*M48))/(IF(L48="",0,0.903)+IF(K48="",0,0.88)+IF(N48="",0,0.762)+IF(M48="",0,0.74)),"")</f>
      </c>
      <c r="AY48" s="12" t="str">
        <f>=IF(O48="","",O48</f>
      </c>
      <c r="AZ48" s="12" t="str">
        <f>=IF(F48="","",IF(F48="Continuada",1,0))</f>
      </c>
      <c r="BA48" s="12" t="str">
        <f>=IF(G48="","",IF(G48="1r",1,0))</f>
      </c>
      <c r="BB48" s="12" t="str">
        <f>=IF(B48="","",B48)</f>
      </c>
      <c r="BC48" s="12" t="str">
        <f>=IF(E48="","",E48)</f>
      </c>
      <c r="BD48" s="12" t="str">
        <f>=IF(I48="","",IF(OR(I48="Estadística",I48="Doble Eco+Est",I48="Doble ADE+Soc",I48="Doble ADE+Mat",I48="Doble ADE+Dret",I48="Doble ADE+Qui"),1,0))</f>
      </c>
      <c r="BE48" s="12" t="str">
        <f>=IF(J48="","",IF(OR(J48="T.Parcial",J48="T.Complet"),1,0))</f>
      </c>
      <c r="BF48" s="12" t="str">
        <f>=IF(C48="","",C48)</f>
      </c>
      <c r="BG48" s="12" t="str">
        <f>=IF(D48="","",D48)</f>
      </c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Q49" s="12" t="str">
        <f>=IFERROR((IF(R49="",0,0.867*R49)+IF(S49="",0,0.854*S49)+IF(T49="",0,0.702*T49)+IF(U49="",0,0.561*U49)+IF(V49="",0,0.485*V49))/(IF(R49="",0,0.867)+IF(S49="",0,0.854)+IF(T49="",0,0.702)+IF(U49="",0,0.561)+IF(V49="",0,0.485)),"")</f>
      </c>
      <c r="AR49" s="12" t="str">
        <f>=IFERROR((IF(W49="",0,0.83*W49)+IF(X49="",0,0.739*X49)+IF(Y49="",0,0.607*Y49)+IF(Z49="",0,0.368*Z49)+IF(AA49="",0,0.335*AA49))/(IF(W49="",0,0.83)+IF(X49="",0,0.739)+IF(Y49="",0,0.607)+IF(Z49="",0,0.368)+IF(AA49="",0,0.335)),"")</f>
      </c>
      <c r="AS49" s="12" t="str">
        <f>=IFERROR((IF(AB49="",0,0.957*AB49)+IF(AC49="",0,0.84*AC49)+IF(AD49="",0,0.662*AD49))/(IF(AB49="",0,0.957)+IF(AC49="",0,0.84)+IF(AD49="",0,0.662)),"")</f>
      </c>
      <c r="AT49" s="12" t="str">
        <f>=IFERROR((IF(AE49="",0,0.985*AE49)+IF(AF49="",0,0.799*AF49)+IF(AG49="",0,0.782*AG49)+IF(AH49="",0,0.588*AH49))/(IF(AE49="",0,0.985)+IF(AF49="",0,0.799)+IF(AG49="",0,0.782)+IF(AH49="",0,0.588)),"")</f>
      </c>
      <c r="AU49" s="12" t="str">
        <f>=IFERROR((IF(AI49="",0,0.91*AI49)+IF(AJ49="",0,0.72*AJ49)+IF(AK49="",0,0.627*AK49)+IF(AL49="",0,0.385*AL49))/(IF(AI49="",0,0.91)+IF(AJ49="",0,0.72)+IF(AK49="",0,0.627)+IF(AL49="",0,0.385)),"")</f>
      </c>
      <c r="AV49" s="12" t="str">
        <f>=IFERROR((IF(AM49="",0,0.813*AM49)+IF(AN49="",0,0.665*AN49))/(IF(AM49="",0,0.813)+IF(AN49="",0,0.665)),"")</f>
      </c>
      <c r="AW49" s="12" t="str">
        <f>=IFERROR((IF(AO49="",0,0.863*AO49))/(IF(AO49="",0,0.863)),"")</f>
      </c>
      <c r="AX49" s="12" t="str">
        <f>=IFERROR((IF(L49="",0,0.903*L49)+IF(K49="",0,0.88*K49)+IF(N49="",0,0.762*N49)+IF(M49="",0,0.74*M49))/(IF(L49="",0,0.903)+IF(K49="",0,0.88)+IF(N49="",0,0.762)+IF(M49="",0,0.74)),"")</f>
      </c>
      <c r="AY49" s="12" t="str">
        <f>=IF(O49="","",O49</f>
      </c>
      <c r="AZ49" s="12" t="str">
        <f>=IF(F49="","",IF(F49="Continuada",1,0))</f>
      </c>
      <c r="BA49" s="12" t="str">
        <f>=IF(G49="","",IF(G49="1r",1,0))</f>
      </c>
      <c r="BB49" s="12" t="str">
        <f>=IF(B49="","",B49)</f>
      </c>
      <c r="BC49" s="12" t="str">
        <f>=IF(E49="","",E49)</f>
      </c>
      <c r="BD49" s="12" t="str">
        <f>=IF(I49="","",IF(OR(I49="Estadística",I49="Doble Eco+Est",I49="Doble ADE+Soc",I49="Doble ADE+Mat",I49="Doble ADE+Dret",I49="Doble ADE+Qui"),1,0))</f>
      </c>
      <c r="BE49" s="12" t="str">
        <f>=IF(J49="","",IF(OR(J49="T.Parcial",J49="T.Complet"),1,0))</f>
      </c>
      <c r="BF49" s="12" t="str">
        <f>=IF(C49="","",C49)</f>
      </c>
      <c r="BG49" s="12" t="str">
        <f>=IF(D49="","",D49)</f>
      </c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Q50" s="12" t="str">
        <f>=IFERROR((IF(R50="",0,0.867*R50)+IF(S50="",0,0.854*S50)+IF(T50="",0,0.702*T50)+IF(U50="",0,0.561*U50)+IF(V50="",0,0.485*V50))/(IF(R50="",0,0.867)+IF(S50="",0,0.854)+IF(T50="",0,0.702)+IF(U50="",0,0.561)+IF(V50="",0,0.485)),"")</f>
      </c>
      <c r="AR50" s="12" t="str">
        <f>=IFERROR((IF(W50="",0,0.83*W50)+IF(X50="",0,0.739*X50)+IF(Y50="",0,0.607*Y50)+IF(Z50="",0,0.368*Z50)+IF(AA50="",0,0.335*AA50))/(IF(W50="",0,0.83)+IF(X50="",0,0.739)+IF(Y50="",0,0.607)+IF(Z50="",0,0.368)+IF(AA50="",0,0.335)),"")</f>
      </c>
      <c r="AS50" s="12" t="str">
        <f>=IFERROR((IF(AB50="",0,0.957*AB50)+IF(AC50="",0,0.84*AC50)+IF(AD50="",0,0.662*AD50))/(IF(AB50="",0,0.957)+IF(AC50="",0,0.84)+IF(AD50="",0,0.662)),"")</f>
      </c>
      <c r="AT50" s="12" t="str">
        <f>=IFERROR((IF(AE50="",0,0.985*AE50)+IF(AF50="",0,0.799*AF50)+IF(AG50="",0,0.782*AG50)+IF(AH50="",0,0.588*AH50))/(IF(AE50="",0,0.985)+IF(AF50="",0,0.799)+IF(AG50="",0,0.782)+IF(AH50="",0,0.588)),"")</f>
      </c>
      <c r="AU50" s="12" t="str">
        <f>=IFERROR((IF(AI50="",0,0.91*AI50)+IF(AJ50="",0,0.72*AJ50)+IF(AK50="",0,0.627*AK50)+IF(AL50="",0,0.385*AL50))/(IF(AI50="",0,0.91)+IF(AJ50="",0,0.72)+IF(AK50="",0,0.627)+IF(AL50="",0,0.385)),"")</f>
      </c>
      <c r="AV50" s="12" t="str">
        <f>=IFERROR((IF(AM50="",0,0.813*AM50)+IF(AN50="",0,0.665*AN50))/(IF(AM50="",0,0.813)+IF(AN50="",0,0.665)),"")</f>
      </c>
      <c r="AW50" s="12" t="str">
        <f>=IFERROR((IF(AO50="",0,0.863*AO50))/(IF(AO50="",0,0.863)),"")</f>
      </c>
      <c r="AX50" s="12" t="str">
        <f>=IFERROR((IF(L50="",0,0.903*L50)+IF(K50="",0,0.88*K50)+IF(N50="",0,0.762*N50)+IF(M50="",0,0.74*M50))/(IF(L50="",0,0.903)+IF(K50="",0,0.88)+IF(N50="",0,0.762)+IF(M50="",0,0.74)),"")</f>
      </c>
      <c r="AY50" s="12" t="str">
        <f>=IF(O50="","",O50</f>
      </c>
      <c r="AZ50" s="12" t="str">
        <f>=IF(F50="","",IF(F50="Continuada",1,0))</f>
      </c>
      <c r="BA50" s="12" t="str">
        <f>=IF(G50="","",IF(G50="1r",1,0))</f>
      </c>
      <c r="BB50" s="12" t="str">
        <f>=IF(B50="","",B50)</f>
      </c>
      <c r="BC50" s="12" t="str">
        <f>=IF(E50="","",E50)</f>
      </c>
      <c r="BD50" s="12" t="str">
        <f>=IF(I50="","",IF(OR(I50="Estadística",I50="Doble Eco+Est",I50="Doble ADE+Soc",I50="Doble ADE+Mat",I50="Doble ADE+Dret",I50="Doble ADE+Qui"),1,0))</f>
      </c>
      <c r="BE50" s="12" t="str">
        <f>=IF(J50="","",IF(OR(J50="T.Parcial",J50="T.Complet"),1,0))</f>
      </c>
      <c r="BF50" s="12" t="str">
        <f>=IF(C50="","",C50)</f>
      </c>
      <c r="BG50" s="12" t="str">
        <f>=IF(D50="","",D50)</f>
      </c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Q51" s="12" t="str">
        <f>=IFERROR((IF(R51="",0,0.867*R51)+IF(S51="",0,0.854*S51)+IF(T51="",0,0.702*T51)+IF(U51="",0,0.561*U51)+IF(V51="",0,0.485*V51))/(IF(R51="",0,0.867)+IF(S51="",0,0.854)+IF(T51="",0,0.702)+IF(U51="",0,0.561)+IF(V51="",0,0.485)),"")</f>
      </c>
      <c r="AR51" s="12" t="str">
        <f>=IFERROR((IF(W51="",0,0.83*W51)+IF(X51="",0,0.739*X51)+IF(Y51="",0,0.607*Y51)+IF(Z51="",0,0.368*Z51)+IF(AA51="",0,0.335*AA51))/(IF(W51="",0,0.83)+IF(X51="",0,0.739)+IF(Y51="",0,0.607)+IF(Z51="",0,0.368)+IF(AA51="",0,0.335)),"")</f>
      </c>
      <c r="AS51" s="12" t="str">
        <f>=IFERROR((IF(AB51="",0,0.957*AB51)+IF(AC51="",0,0.84*AC51)+IF(AD51="",0,0.662*AD51))/(IF(AB51="",0,0.957)+IF(AC51="",0,0.84)+IF(AD51="",0,0.662)),"")</f>
      </c>
      <c r="AT51" s="12" t="str">
        <f>=IFERROR((IF(AE51="",0,0.985*AE51)+IF(AF51="",0,0.799*AF51)+IF(AG51="",0,0.782*AG51)+IF(AH51="",0,0.588*AH51))/(IF(AE51="",0,0.985)+IF(AF51="",0,0.799)+IF(AG51="",0,0.782)+IF(AH51="",0,0.588)),"")</f>
      </c>
      <c r="AU51" s="12" t="str">
        <f>=IFERROR((IF(AI51="",0,0.91*AI51)+IF(AJ51="",0,0.72*AJ51)+IF(AK51="",0,0.627*AK51)+IF(AL51="",0,0.385*AL51))/(IF(AI51="",0,0.91)+IF(AJ51="",0,0.72)+IF(AK51="",0,0.627)+IF(AL51="",0,0.385)),"")</f>
      </c>
      <c r="AV51" s="12" t="str">
        <f>=IFERROR((IF(AM51="",0,0.813*AM51)+IF(AN51="",0,0.665*AN51))/(IF(AM51="",0,0.813)+IF(AN51="",0,0.665)),"")</f>
      </c>
      <c r="AW51" s="12" t="str">
        <f>=IFERROR((IF(AO51="",0,0.863*AO51))/(IF(AO51="",0,0.863)),"")</f>
      </c>
      <c r="AX51" s="12" t="str">
        <f>=IFERROR((IF(L51="",0,0.903*L51)+IF(K51="",0,0.88*K51)+IF(N51="",0,0.762*N51)+IF(M51="",0,0.74*M51))/(IF(L51="",0,0.903)+IF(K51="",0,0.88)+IF(N51="",0,0.762)+IF(M51="",0,0.74)),"")</f>
      </c>
      <c r="AY51" s="12" t="str">
        <f>=IF(O51="","",O51</f>
      </c>
      <c r="AZ51" s="12" t="str">
        <f>=IF(F51="","",IF(F51="Continuada",1,0))</f>
      </c>
      <c r="BA51" s="12" t="str">
        <f>=IF(G51="","",IF(G51="1r",1,0))</f>
      </c>
      <c r="BB51" s="12" t="str">
        <f>=IF(B51="","",B51)</f>
      </c>
      <c r="BC51" s="12" t="str">
        <f>=IF(E51="","",E51)</f>
      </c>
      <c r="BD51" s="12" t="str">
        <f>=IF(I51="","",IF(OR(I51="Estadística",I51="Doble Eco+Est",I51="Doble ADE+Soc",I51="Doble ADE+Mat",I51="Doble ADE+Dret",I51="Doble ADE+Qui"),1,0))</f>
      </c>
      <c r="BE51" s="12" t="str">
        <f>=IF(J51="","",IF(OR(J51="T.Parcial",J51="T.Complet"),1,0))</f>
      </c>
      <c r="BF51" s="12" t="str">
        <f>=IF(C51="","",C51)</f>
      </c>
      <c r="BG51" s="12" t="str">
        <f>=IF(D51="","",D51)</f>
      </c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Q52" s="12" t="str">
        <f>=IFERROR((IF(R52="",0,0.867*R52)+IF(S52="",0,0.854*S52)+IF(T52="",0,0.702*T52)+IF(U52="",0,0.561*U52)+IF(V52="",0,0.485*V52))/(IF(R52="",0,0.867)+IF(S52="",0,0.854)+IF(T52="",0,0.702)+IF(U52="",0,0.561)+IF(V52="",0,0.485)),"")</f>
      </c>
      <c r="AR52" s="12" t="str">
        <f>=IFERROR((IF(W52="",0,0.83*W52)+IF(X52="",0,0.739*X52)+IF(Y52="",0,0.607*Y52)+IF(Z52="",0,0.368*Z52)+IF(AA52="",0,0.335*AA52))/(IF(W52="",0,0.83)+IF(X52="",0,0.739)+IF(Y52="",0,0.607)+IF(Z52="",0,0.368)+IF(AA52="",0,0.335)),"")</f>
      </c>
      <c r="AS52" s="12" t="str">
        <f>=IFERROR((IF(AB52="",0,0.957*AB52)+IF(AC52="",0,0.84*AC52)+IF(AD52="",0,0.662*AD52))/(IF(AB52="",0,0.957)+IF(AC52="",0,0.84)+IF(AD52="",0,0.662)),"")</f>
      </c>
      <c r="AT52" s="12" t="str">
        <f>=IFERROR((IF(AE52="",0,0.985*AE52)+IF(AF52="",0,0.799*AF52)+IF(AG52="",0,0.782*AG52)+IF(AH52="",0,0.588*AH52))/(IF(AE52="",0,0.985)+IF(AF52="",0,0.799)+IF(AG52="",0,0.782)+IF(AH52="",0,0.588)),"")</f>
      </c>
      <c r="AU52" s="12" t="str">
        <f>=IFERROR((IF(AI52="",0,0.91*AI52)+IF(AJ52="",0,0.72*AJ52)+IF(AK52="",0,0.627*AK52)+IF(AL52="",0,0.385*AL52))/(IF(AI52="",0,0.91)+IF(AJ52="",0,0.72)+IF(AK52="",0,0.627)+IF(AL52="",0,0.385)),"")</f>
      </c>
      <c r="AV52" s="12" t="str">
        <f>=IFERROR((IF(AM52="",0,0.813*AM52)+IF(AN52="",0,0.665*AN52))/(IF(AM52="",0,0.813)+IF(AN52="",0,0.665)),"")</f>
      </c>
      <c r="AW52" s="12" t="str">
        <f>=IFERROR((IF(AO52="",0,0.863*AO52))/(IF(AO52="",0,0.863)),"")</f>
      </c>
      <c r="AX52" s="12" t="str">
        <f>=IFERROR((IF(L52="",0,0.903*L52)+IF(K52="",0,0.88*K52)+IF(N52="",0,0.762*N52)+IF(M52="",0,0.74*M52))/(IF(L52="",0,0.903)+IF(K52="",0,0.88)+IF(N52="",0,0.762)+IF(M52="",0,0.74)),"")</f>
      </c>
      <c r="AY52" s="12" t="str">
        <f>=IF(O52="","",O52</f>
      </c>
      <c r="AZ52" s="12" t="str">
        <f>=IF(F52="","",IF(F52="Continuada",1,0))</f>
      </c>
      <c r="BA52" s="12" t="str">
        <f>=IF(G52="","",IF(G52="1r",1,0))</f>
      </c>
      <c r="BB52" s="12" t="str">
        <f>=IF(B52="","",B52)</f>
      </c>
      <c r="BC52" s="12" t="str">
        <f>=IF(E52="","",E52)</f>
      </c>
      <c r="BD52" s="12" t="str">
        <f>=IF(I52="","",IF(OR(I52="Estadística",I52="Doble Eco+Est",I52="Doble ADE+Soc",I52="Doble ADE+Mat",I52="Doble ADE+Dret",I52="Doble ADE+Qui"),1,0))</f>
      </c>
      <c r="BE52" s="12" t="str">
        <f>=IF(J52="","",IF(OR(J52="T.Parcial",J52="T.Complet"),1,0))</f>
      </c>
      <c r="BF52" s="12" t="str">
        <f>=IF(C52="","",C52)</f>
      </c>
      <c r="BG52" s="12" t="str">
        <f>=IF(D52="","",D52)</f>
      </c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Q53" s="12" t="str">
        <f>=IFERROR((IF(R53="",0,0.867*R53)+IF(S53="",0,0.854*S53)+IF(T53="",0,0.702*T53)+IF(U53="",0,0.561*U53)+IF(V53="",0,0.485*V53))/(IF(R53="",0,0.867)+IF(S53="",0,0.854)+IF(T53="",0,0.702)+IF(U53="",0,0.561)+IF(V53="",0,0.485)),"")</f>
      </c>
      <c r="AR53" s="12" t="str">
        <f>=IFERROR((IF(W53="",0,0.83*W53)+IF(X53="",0,0.739*X53)+IF(Y53="",0,0.607*Y53)+IF(Z53="",0,0.368*Z53)+IF(AA53="",0,0.335*AA53))/(IF(W53="",0,0.83)+IF(X53="",0,0.739)+IF(Y53="",0,0.607)+IF(Z53="",0,0.368)+IF(AA53="",0,0.335)),"")</f>
      </c>
      <c r="AS53" s="12" t="str">
        <f>=IFERROR((IF(AB53="",0,0.957*AB53)+IF(AC53="",0,0.84*AC53)+IF(AD53="",0,0.662*AD53))/(IF(AB53="",0,0.957)+IF(AC53="",0,0.84)+IF(AD53="",0,0.662)),"")</f>
      </c>
      <c r="AT53" s="12" t="str">
        <f>=IFERROR((IF(AE53="",0,0.985*AE53)+IF(AF53="",0,0.799*AF53)+IF(AG53="",0,0.782*AG53)+IF(AH53="",0,0.588*AH53))/(IF(AE53="",0,0.985)+IF(AF53="",0,0.799)+IF(AG53="",0,0.782)+IF(AH53="",0,0.588)),"")</f>
      </c>
      <c r="AU53" s="12" t="str">
        <f>=IFERROR((IF(AI53="",0,0.91*AI53)+IF(AJ53="",0,0.72*AJ53)+IF(AK53="",0,0.627*AK53)+IF(AL53="",0,0.385*AL53))/(IF(AI53="",0,0.91)+IF(AJ53="",0,0.72)+IF(AK53="",0,0.627)+IF(AL53="",0,0.385)),"")</f>
      </c>
      <c r="AV53" s="12" t="str">
        <f>=IFERROR((IF(AM53="",0,0.813*AM53)+IF(AN53="",0,0.665*AN53))/(IF(AM53="",0,0.813)+IF(AN53="",0,0.665)),"")</f>
      </c>
      <c r="AW53" s="12" t="str">
        <f>=IFERROR((IF(AO53="",0,0.863*AO53))/(IF(AO53="",0,0.863)),"")</f>
      </c>
      <c r="AX53" s="12" t="str">
        <f>=IFERROR((IF(L53="",0,0.903*L53)+IF(K53="",0,0.88*K53)+IF(N53="",0,0.762*N53)+IF(M53="",0,0.74*M53))/(IF(L53="",0,0.903)+IF(K53="",0,0.88)+IF(N53="",0,0.762)+IF(M53="",0,0.74)),"")</f>
      </c>
      <c r="AY53" s="12" t="str">
        <f>=IF(O53="","",O53</f>
      </c>
      <c r="AZ53" s="12" t="str">
        <f>=IF(F53="","",IF(F53="Continuada",1,0))</f>
      </c>
      <c r="BA53" s="12" t="str">
        <f>=IF(G53="","",IF(G53="1r",1,0))</f>
      </c>
      <c r="BB53" s="12" t="str">
        <f>=IF(B53="","",B53)</f>
      </c>
      <c r="BC53" s="12" t="str">
        <f>=IF(E53="","",E53)</f>
      </c>
      <c r="BD53" s="12" t="str">
        <f>=IF(I53="","",IF(OR(I53="Estadística",I53="Doble Eco+Est",I53="Doble ADE+Soc",I53="Doble ADE+Mat",I53="Doble ADE+Dret",I53="Doble ADE+Qui"),1,0))</f>
      </c>
      <c r="BE53" s="12" t="str">
        <f>=IF(J53="","",IF(OR(J53="T.Parcial",J53="T.Complet"),1,0))</f>
      </c>
      <c r="BF53" s="12" t="str">
        <f>=IF(C53="","",C53)</f>
      </c>
      <c r="BG53" s="12" t="str">
        <f>=IF(D53="","",D53)</f>
      </c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Q54" s="12" t="str">
        <f>=IFERROR((IF(R54="",0,0.867*R54)+IF(S54="",0,0.854*S54)+IF(T54="",0,0.702*T54)+IF(U54="",0,0.561*U54)+IF(V54="",0,0.485*V54))/(IF(R54="",0,0.867)+IF(S54="",0,0.854)+IF(T54="",0,0.702)+IF(U54="",0,0.561)+IF(V54="",0,0.485)),"")</f>
      </c>
      <c r="AR54" s="12" t="str">
        <f>=IFERROR((IF(W54="",0,0.83*W54)+IF(X54="",0,0.739*X54)+IF(Y54="",0,0.607*Y54)+IF(Z54="",0,0.368*Z54)+IF(AA54="",0,0.335*AA54))/(IF(W54="",0,0.83)+IF(X54="",0,0.739)+IF(Y54="",0,0.607)+IF(Z54="",0,0.368)+IF(AA54="",0,0.335)),"")</f>
      </c>
      <c r="AS54" s="12" t="str">
        <f>=IFERROR((IF(AB54="",0,0.957*AB54)+IF(AC54="",0,0.84*AC54)+IF(AD54="",0,0.662*AD54))/(IF(AB54="",0,0.957)+IF(AC54="",0,0.84)+IF(AD54="",0,0.662)),"")</f>
      </c>
      <c r="AT54" s="12" t="str">
        <f>=IFERROR((IF(AE54="",0,0.985*AE54)+IF(AF54="",0,0.799*AF54)+IF(AG54="",0,0.782*AG54)+IF(AH54="",0,0.588*AH54))/(IF(AE54="",0,0.985)+IF(AF54="",0,0.799)+IF(AG54="",0,0.782)+IF(AH54="",0,0.588)),"")</f>
      </c>
      <c r="AU54" s="12" t="str">
        <f>=IFERROR((IF(AI54="",0,0.91*AI54)+IF(AJ54="",0,0.72*AJ54)+IF(AK54="",0,0.627*AK54)+IF(AL54="",0,0.385*AL54))/(IF(AI54="",0,0.91)+IF(AJ54="",0,0.72)+IF(AK54="",0,0.627)+IF(AL54="",0,0.385)),"")</f>
      </c>
      <c r="AV54" s="12" t="str">
        <f>=IFERROR((IF(AM54="",0,0.813*AM54)+IF(AN54="",0,0.665*AN54))/(IF(AM54="",0,0.813)+IF(AN54="",0,0.665)),"")</f>
      </c>
      <c r="AW54" s="12" t="str">
        <f>=IFERROR((IF(AO54="",0,0.863*AO54))/(IF(AO54="",0,0.863)),"")</f>
      </c>
      <c r="AX54" s="12" t="str">
        <f>=IFERROR((IF(L54="",0,0.903*L54)+IF(K54="",0,0.88*K54)+IF(N54="",0,0.762*N54)+IF(M54="",0,0.74*M54))/(IF(L54="",0,0.903)+IF(K54="",0,0.88)+IF(N54="",0,0.762)+IF(M54="",0,0.74)),"")</f>
      </c>
      <c r="AY54" s="12" t="str">
        <f>=IF(O54="","",O54</f>
      </c>
      <c r="AZ54" s="12" t="str">
        <f>=IF(F54="","",IF(F54="Continuada",1,0))</f>
      </c>
      <c r="BA54" s="12" t="str">
        <f>=IF(G54="","",IF(G54="1r",1,0))</f>
      </c>
      <c r="BB54" s="12" t="str">
        <f>=IF(B54="","",B54)</f>
      </c>
      <c r="BC54" s="12" t="str">
        <f>=IF(E54="","",E54)</f>
      </c>
      <c r="BD54" s="12" t="str">
        <f>=IF(I54="","",IF(OR(I54="Estadística",I54="Doble Eco+Est",I54="Doble ADE+Soc",I54="Doble ADE+Mat",I54="Doble ADE+Dret",I54="Doble ADE+Qui"),1,0))</f>
      </c>
      <c r="BE54" s="12" t="str">
        <f>=IF(J54="","",IF(OR(J54="T.Parcial",J54="T.Complet"),1,0))</f>
      </c>
      <c r="BF54" s="12" t="str">
        <f>=IF(C54="","",C54)</f>
      </c>
      <c r="BG54" s="12" t="str">
        <f>=IF(D54="","",D54)</f>
      </c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Q55" s="12" t="str">
        <f>=IFERROR((IF(R55="",0,0.867*R55)+IF(S55="",0,0.854*S55)+IF(T55="",0,0.702*T55)+IF(U55="",0,0.561*U55)+IF(V55="",0,0.485*V55))/(IF(R55="",0,0.867)+IF(S55="",0,0.854)+IF(T55="",0,0.702)+IF(U55="",0,0.561)+IF(V55="",0,0.485)),"")</f>
      </c>
      <c r="AR55" s="12" t="str">
        <f>=IFERROR((IF(W55="",0,0.83*W55)+IF(X55="",0,0.739*X55)+IF(Y55="",0,0.607*Y55)+IF(Z55="",0,0.368*Z55)+IF(AA55="",0,0.335*AA55))/(IF(W55="",0,0.83)+IF(X55="",0,0.739)+IF(Y55="",0,0.607)+IF(Z55="",0,0.368)+IF(AA55="",0,0.335)),"")</f>
      </c>
      <c r="AS55" s="12" t="str">
        <f>=IFERROR((IF(AB55="",0,0.957*AB55)+IF(AC55="",0,0.84*AC55)+IF(AD55="",0,0.662*AD55))/(IF(AB55="",0,0.957)+IF(AC55="",0,0.84)+IF(AD55="",0,0.662)),"")</f>
      </c>
      <c r="AT55" s="12" t="str">
        <f>=IFERROR((IF(AE55="",0,0.985*AE55)+IF(AF55="",0,0.799*AF55)+IF(AG55="",0,0.782*AG55)+IF(AH55="",0,0.588*AH55))/(IF(AE55="",0,0.985)+IF(AF55="",0,0.799)+IF(AG55="",0,0.782)+IF(AH55="",0,0.588)),"")</f>
      </c>
      <c r="AU55" s="12" t="str">
        <f>=IFERROR((IF(AI55="",0,0.91*AI55)+IF(AJ55="",0,0.72*AJ55)+IF(AK55="",0,0.627*AK55)+IF(AL55="",0,0.385*AL55))/(IF(AI55="",0,0.91)+IF(AJ55="",0,0.72)+IF(AK55="",0,0.627)+IF(AL55="",0,0.385)),"")</f>
      </c>
      <c r="AV55" s="12" t="str">
        <f>=IFERROR((IF(AM55="",0,0.813*AM55)+IF(AN55="",0,0.665*AN55))/(IF(AM55="",0,0.813)+IF(AN55="",0,0.665)),"")</f>
      </c>
      <c r="AW55" s="12" t="str">
        <f>=IFERROR((IF(AO55="",0,0.863*AO55))/(IF(AO55="",0,0.863)),"")</f>
      </c>
      <c r="AX55" s="12" t="str">
        <f>=IFERROR((IF(L55="",0,0.903*L55)+IF(K55="",0,0.88*K55)+IF(N55="",0,0.762*N55)+IF(M55="",0,0.74*M55))/(IF(L55="",0,0.903)+IF(K55="",0,0.88)+IF(N55="",0,0.762)+IF(M55="",0,0.74)),"")</f>
      </c>
      <c r="AY55" s="12" t="str">
        <f>=IF(O55="","",O55</f>
      </c>
      <c r="AZ55" s="12" t="str">
        <f>=IF(F55="","",IF(F55="Continuada",1,0))</f>
      </c>
      <c r="BA55" s="12" t="str">
        <f>=IF(G55="","",IF(G55="1r",1,0))</f>
      </c>
      <c r="BB55" s="12" t="str">
        <f>=IF(B55="","",B55)</f>
      </c>
      <c r="BC55" s="12" t="str">
        <f>=IF(E55="","",E55)</f>
      </c>
      <c r="BD55" s="12" t="str">
        <f>=IF(I55="","",IF(OR(I55="Estadística",I55="Doble Eco+Est",I55="Doble ADE+Soc",I55="Doble ADE+Mat",I55="Doble ADE+Dret",I55="Doble ADE+Qui"),1,0))</f>
      </c>
      <c r="BE55" s="12" t="str">
        <f>=IF(J55="","",IF(OR(J55="T.Parcial",J55="T.Complet"),1,0))</f>
      </c>
      <c r="BF55" s="12" t="str">
        <f>=IF(C55="","",C55)</f>
      </c>
      <c r="BG55" s="12" t="str">
        <f>=IF(D55="","",D55)</f>
      </c>
    </row>
  </sheetData>
  <mergeCells count="5">
    <mergeCell ref="A1:BG1"/>
    <mergeCell ref="A2:BG2"/>
    <mergeCell ref="A3:BG3"/>
    <mergeCell ref="A4:AO4"/>
    <mergeCell ref="AQ4:BG4"/>
  </mergeCells>
  <dataValidations count="35">
    <dataValidation type="whole" operator="between" allowBlank="1" showInputMessage="1" showErrorMessage="1" sqref="E6:E55">
      <formula1>1</formula1>
      <formula2>5</formula2>
    </dataValidation>
    <dataValidation type="whole" operator="between" allowBlank="1" showInputMessage="1" showErrorMessage="1" sqref="B6:B55">
      <formula1>17</formula1>
      <formula2>70</formula2>
    </dataValidation>
    <dataValidation type="whole" operator="between" allowBlank="1" showInputMessage="1" showErrorMessage="1" sqref="C6:C55">
      <formula1>0</formula1>
      <formula2>300</formula2>
    </dataValidation>
    <dataValidation type="whole" operator="between" allowBlank="1" showInputMessage="1" showErrorMessage="1" sqref="D6:D55">
      <formula1>1</formula1>
      <formula2>16</formula2>
    </dataValidation>
    <dataValidation type="whole" operator="between" allowBlank="1" showInputMessage="1" showErrorMessage="1" sqref="K6:K55">
      <formula1>1</formula1>
      <formula2>6</formula2>
    </dataValidation>
    <dataValidation type="whole" operator="between" allowBlank="1" showInputMessage="1" showErrorMessage="1" sqref="L6:L55">
      <formula1>1</formula1>
      <formula2>6</formula2>
    </dataValidation>
    <dataValidation type="whole" operator="between" allowBlank="1" showInputMessage="1" showErrorMessage="1" sqref="M6:M55">
      <formula1>1</formula1>
      <formula2>6</formula2>
    </dataValidation>
    <dataValidation type="whole" operator="between" allowBlank="1" showInputMessage="1" showErrorMessage="1" sqref="N6:N55">
      <formula1>1</formula1>
      <formula2>6</formula2>
    </dataValidation>
    <dataValidation type="whole" operator="between" allowBlank="1" showInputMessage="1" showErrorMessage="1" sqref="O6:O55">
      <formula1>1</formula1>
      <formula2>6</formula2>
    </dataValidation>
    <dataValidation type="whole" operator="between" allowBlank="1" showInputMessage="1" showErrorMessage="1" sqref="P6:P55">
      <formula1>1</formula1>
      <formula2>6</formula2>
    </dataValidation>
    <dataValidation type="whole" operator="between" allowBlank="1" showInputMessage="1" showErrorMessage="1" sqref="Q6:Q55">
      <formula1>1</formula1>
      <formula2>6</formula2>
    </dataValidation>
    <dataValidation type="whole" operator="between" allowBlank="1" showInputMessage="1" showErrorMessage="1" sqref="R6:R55">
      <formula1>1</formula1>
      <formula2>6</formula2>
    </dataValidation>
    <dataValidation type="whole" operator="between" allowBlank="1" showInputMessage="1" showErrorMessage="1" sqref="S6:S55">
      <formula1>1</formula1>
      <formula2>6</formula2>
    </dataValidation>
    <dataValidation type="whole" operator="between" allowBlank="1" showInputMessage="1" showErrorMessage="1" sqref="T6:T55">
      <formula1>1</formula1>
      <formula2>6</formula2>
    </dataValidation>
    <dataValidation type="whole" operator="between" allowBlank="1" showInputMessage="1" showErrorMessage="1" sqref="U6:U55">
      <formula1>1</formula1>
      <formula2>6</formula2>
    </dataValidation>
    <dataValidation type="whole" operator="between" allowBlank="1" showInputMessage="1" showErrorMessage="1" sqref="V6:V55">
      <formula1>1</formula1>
      <formula2>6</formula2>
    </dataValidation>
    <dataValidation type="whole" operator="between" allowBlank="1" showInputMessage="1" showErrorMessage="1" sqref="W6:W55">
      <formula1>1</formula1>
      <formula2>6</formula2>
    </dataValidation>
    <dataValidation type="whole" operator="between" allowBlank="1" showInputMessage="1" showErrorMessage="1" sqref="X6:X55">
      <formula1>1</formula1>
      <formula2>6</formula2>
    </dataValidation>
    <dataValidation type="whole" operator="between" allowBlank="1" showInputMessage="1" showErrorMessage="1" sqref="Y6:Y55">
      <formula1>1</formula1>
      <formula2>6</formula2>
    </dataValidation>
    <dataValidation type="whole" operator="between" allowBlank="1" showInputMessage="1" showErrorMessage="1" sqref="Z6:Z55">
      <formula1>1</formula1>
      <formula2>6</formula2>
    </dataValidation>
    <dataValidation type="whole" operator="between" allowBlank="1" showInputMessage="1" showErrorMessage="1" sqref="AA6:AA55">
      <formula1>1</formula1>
      <formula2>6</formula2>
    </dataValidation>
    <dataValidation type="whole" operator="between" allowBlank="1" showInputMessage="1" showErrorMessage="1" sqref="AB6:AB55">
      <formula1>1</formula1>
      <formula2>6</formula2>
    </dataValidation>
    <dataValidation type="whole" operator="between" allowBlank="1" showInputMessage="1" showErrorMessage="1" sqref="AC6:AC55">
      <formula1>1</formula1>
      <formula2>6</formula2>
    </dataValidation>
    <dataValidation type="whole" operator="between" allowBlank="1" showInputMessage="1" showErrorMessage="1" sqref="AD6:AD55">
      <formula1>1</formula1>
      <formula2>6</formula2>
    </dataValidation>
    <dataValidation type="whole" operator="between" allowBlank="1" showInputMessage="1" showErrorMessage="1" sqref="AE6:AE55">
      <formula1>1</formula1>
      <formula2>6</formula2>
    </dataValidation>
    <dataValidation type="whole" operator="between" allowBlank="1" showInputMessage="1" showErrorMessage="1" sqref="AF6:AF55">
      <formula1>1</formula1>
      <formula2>6</formula2>
    </dataValidation>
    <dataValidation type="whole" operator="between" allowBlank="1" showInputMessage="1" showErrorMessage="1" sqref="AG6:AG55">
      <formula1>1</formula1>
      <formula2>6</formula2>
    </dataValidation>
    <dataValidation type="whole" operator="between" allowBlank="1" showInputMessage="1" showErrorMessage="1" sqref="AH6:AH55">
      <formula1>1</formula1>
      <formula2>6</formula2>
    </dataValidation>
    <dataValidation type="whole" operator="between" allowBlank="1" showInputMessage="1" showErrorMessage="1" sqref="AI6:AI55">
      <formula1>1</formula1>
      <formula2>6</formula2>
    </dataValidation>
    <dataValidation type="whole" operator="between" allowBlank="1" showInputMessage="1" showErrorMessage="1" sqref="AJ6:AJ55">
      <formula1>1</formula1>
      <formula2>6</formula2>
    </dataValidation>
    <dataValidation type="whole" operator="between" allowBlank="1" showInputMessage="1" showErrorMessage="1" sqref="AK6:AK55">
      <formula1>1</formula1>
      <formula2>6</formula2>
    </dataValidation>
    <dataValidation type="whole" operator="between" allowBlank="1" showInputMessage="1" showErrorMessage="1" sqref="AL6:AL55">
      <formula1>1</formula1>
      <formula2>6</formula2>
    </dataValidation>
    <dataValidation type="whole" operator="between" allowBlank="1" showInputMessage="1" showErrorMessage="1" sqref="AM6:AM55">
      <formula1>1</formula1>
      <formula2>6</formula2>
    </dataValidation>
    <dataValidation type="whole" operator="between" allowBlank="1" showInputMessage="1" showErrorMessage="1" sqref="AN6:AN55">
      <formula1>1</formula1>
      <formula2>6</formula2>
    </dataValidation>
    <dataValidation type="whole" operator="between" allowBlank="1" showInputMessage="1" showErrorMessage="1" sqref="AO6:AO55">
      <formula1>1</formula1>
      <formula2>6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"Continuada,Única"</xm:f>
          </x14:formula1>
          <xm:sqref>F6:F55</xm:sqref>
        </x14:dataValidation>
        <x14:dataValidation type="list" allowBlank="1" showInputMessage="1" showErrorMessage="1">
          <x14:formula1>
            <xm:f>"1r,2n,3r,4t,5è,6è+"</xm:f>
          </x14:formula1>
          <xm:sqref>G6:G55</xm:sqref>
        </x14:dataValidation>
        <x14:dataValidation type="list" allowBlank="1" showInputMessage="1" showErrorMessage="1">
          <x14:formula1>
            <xm:f>"Home,Dona,No binari,Prefereixo no respondre"</xm:f>
          </x14:formula1>
          <xm:sqref>H6:H55</xm:sqref>
        </x14:dataValidation>
        <x14:dataValidation type="list" allowBlank="1" showInputMessage="1" showErrorMessage="1">
          <x14:formula1>
            <xm:f>Llistes!$A$2:$A$11</xm:f>
          </x14:formula1>
          <xm:sqref>I6:I55</xm:sqref>
        </x14:dataValidation>
        <x14:dataValidation type="list" allowBlank="1" showInputMessage="1" showErrorMessage="1">
          <x14:formula1>
            <xm:f>"E.Complet,T.Ocasional,T.Parcial,T.Complet"</xm:f>
          </x14:formula1>
          <xm:sqref>J6:J55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0.71" hidden="0" customWidth="1"/>
  </cols>
  <sheetData>
    <row r="1">
      <c r="A1" s="13" t="s">
        <v>70</v>
      </c>
    </row>
    <row r="2">
      <c r="A2" s="14" t="s">
        <v>71</v>
      </c>
    </row>
    <row r="3">
      <c r="A3" s="14" t="s">
        <v>72</v>
      </c>
    </row>
    <row r="4">
      <c r="A4" s="14" t="s">
        <v>73</v>
      </c>
    </row>
    <row r="5">
      <c r="A5" s="14" t="s">
        <v>74</v>
      </c>
    </row>
    <row r="6">
      <c r="A6" s="14" t="s">
        <v>75</v>
      </c>
    </row>
    <row r="7">
      <c r="A7" s="14" t="s">
        <v>76</v>
      </c>
    </row>
    <row r="8">
      <c r="A8" s="14" t="s">
        <v>77</v>
      </c>
    </row>
    <row r="9">
      <c r="A9" s="14" t="s">
        <v>78</v>
      </c>
    </row>
    <row r="10">
      <c r="A10" s="14" t="s">
        <v>79</v>
      </c>
    </row>
    <row r="11">
      <c r="A11" s="14" t="s">
        <v>80</v>
      </c>
    </row>
    <row r="12">
      <c r="A12" s="14" t="s">
        <v>81</v>
      </c>
    </row>
    <row r="13">
      <c r="A13" s="14" t="s">
        <v>82</v>
      </c>
    </row>
    <row r="14">
      <c r="A14" s="14" t="s">
        <v>83</v>
      </c>
    </row>
    <row r="15">
      <c r="A15" s="14" t="s">
        <v>71</v>
      </c>
    </row>
    <row r="16">
      <c r="A16" s="14" t="s">
        <v>84</v>
      </c>
    </row>
    <row r="17">
      <c r="A17" s="14" t="s">
        <v>71</v>
      </c>
    </row>
    <row r="18">
      <c r="A18" s="14" t="s">
        <v>85</v>
      </c>
    </row>
    <row r="19">
      <c r="A19" s="14" t="s">
        <v>86</v>
      </c>
    </row>
    <row r="20">
      <c r="A20" s="14" t="s">
        <v>87</v>
      </c>
    </row>
    <row r="21">
      <c r="A21" s="14" t="s">
        <v>88</v>
      </c>
    </row>
    <row r="22">
      <c r="A22" s="14" t="s">
        <v>89</v>
      </c>
    </row>
    <row r="23">
      <c r="A23" s="14" t="s">
        <v>90</v>
      </c>
    </row>
    <row r="24">
      <c r="A24" s="14" t="s">
        <v>91</v>
      </c>
    </row>
    <row r="25">
      <c r="A25" s="14" t="s">
        <v>71</v>
      </c>
    </row>
    <row r="26">
      <c r="A26" s="14" t="s">
        <v>92</v>
      </c>
    </row>
    <row r="27">
      <c r="A27" s="14" t="s">
        <v>93</v>
      </c>
    </row>
    <row r="28">
      <c r="A28" s="14" t="s">
        <v>71</v>
      </c>
    </row>
    <row r="29">
      <c r="A29" s="14" t="s">
        <v>94</v>
      </c>
    </row>
    <row r="30">
      <c r="A30" s="14" t="s">
        <v>95</v>
      </c>
    </row>
    <row r="31">
      <c r="A31" s="14" t="s">
        <v>96</v>
      </c>
    </row>
    <row r="32">
      <c r="A32" s="14" t="s">
        <v>97</v>
      </c>
    </row>
    <row r="33">
      <c r="A33" s="14" t="s">
        <v>98</v>
      </c>
    </row>
    <row r="34">
      <c r="A34" s="14" t="s">
        <v>99</v>
      </c>
    </row>
    <row r="35">
      <c r="A35" s="14" t="s">
        <v>100</v>
      </c>
    </row>
    <row r="36">
      <c r="A36" s="14" t="s">
        <v>101</v>
      </c>
    </row>
    <row r="37">
      <c r="A37" s="14" t="s">
        <v>102</v>
      </c>
    </row>
    <row r="38">
      <c r="A38" s="14" t="s">
        <v>103</v>
      </c>
    </row>
    <row r="39">
      <c r="A39" s="14" t="s">
        <v>71</v>
      </c>
    </row>
    <row r="40">
      <c r="A40" s="14" t="s">
        <v>104</v>
      </c>
    </row>
    <row r="41">
      <c r="A41" s="14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s">
        <v>60</v>
      </c>
    </row>
    <row r="3">
      <c r="A3" t="s">
        <v>61</v>
      </c>
    </row>
    <row r="4">
      <c r="A4" t="s">
        <v>62</v>
      </c>
    </row>
    <row r="5">
      <c r="A5" t="s">
        <v>63</v>
      </c>
    </row>
    <row r="6">
      <c r="A6" t="s">
        <v>64</v>
      </c>
    </row>
    <row r="7">
      <c r="A7" t="s">
        <v>65</v>
      </c>
    </row>
    <row r="8">
      <c r="A8" t="s">
        <v>66</v>
      </c>
    </row>
    <row r="9">
      <c r="A9" t="s">
        <v>67</v>
      </c>
    </row>
    <row r="10">
      <c r="A10" t="s">
        <v>68</v>
      </c>
    </row>
    <row r="11">
      <c r="A1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Edurne</dc:creator>
  <cp:lastModifiedBy>Edurne</cp:lastModifiedBy>
  <dcterms:created xsi:type="dcterms:W3CDTF">2026-06-24T06:54:16Z</dcterms:created>
</coreProperties>
</file>