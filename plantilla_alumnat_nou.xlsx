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rne\Downloads\TFG\shiny_absentisme\"/>
    </mc:Choice>
  </mc:AlternateContent>
  <xr:revisionPtr revIDLastSave="0" documentId="13_ncr:1_{5D499C62-F037-4800-B758-B138132320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tilla" sheetId="1" r:id="rId1"/>
    <sheet name="Instruccions" sheetId="2" r:id="rId2"/>
    <sheet name="Llist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5" i="1" l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5" authorId="0" shapeId="0" xr:uid="{00000000-0006-0000-0000-000001000000}">
      <text>
        <r>
          <rPr>
            <sz val="9"/>
            <color rgb="FF000000"/>
            <rFont val="Calibri"/>
          </rPr>
          <t>Identificador
(opcional)</t>
        </r>
      </text>
    </comment>
    <comment ref="B5" authorId="0" shapeId="0" xr:uid="{00000000-0006-0000-0000-000002000000}">
      <text>
        <r>
          <rPr>
            <sz val="9"/>
            <color rgb="FF000000"/>
            <rFont val="Calibri"/>
          </rPr>
          <t>Edat
(anys)</t>
        </r>
      </text>
    </comment>
    <comment ref="C5" authorId="0" shapeId="0" xr:uid="{00000000-0006-0000-0000-000003000000}">
      <text>
        <r>
          <rPr>
            <sz val="9"/>
            <color rgb="FF000000"/>
            <rFont val="Calibri"/>
          </rPr>
          <t>Desplaçament
al campus (min)</t>
        </r>
      </text>
    </comment>
    <comment ref="D5" authorId="0" shapeId="0" xr:uid="{00000000-0006-0000-0000-000004000000}">
      <text>
        <r>
          <rPr>
            <sz val="9"/>
            <color rgb="FF000000"/>
            <rFont val="Calibri"/>
          </rPr>
          <t>Nombre
assignatures</t>
        </r>
      </text>
    </comment>
    <comment ref="E5" authorId="0" shapeId="0" xr:uid="{00000000-0006-0000-0000-000005000000}">
      <text>
        <r>
          <rPr>
            <sz val="9"/>
            <color rgb="FF000000"/>
            <rFont val="Calibri"/>
          </rPr>
          <t>Nota d'accés
(1=5.0-5.9 … 5=≥9.0)</t>
        </r>
      </text>
    </comment>
    <comment ref="F5" authorId="0" shapeId="0" xr:uid="{00000000-0006-0000-0000-000006000000}">
      <text>
        <r>
          <rPr>
            <sz val="9"/>
            <color rgb="FF000000"/>
            <rFont val="Calibri"/>
          </rPr>
          <t>Tipus
d'avaluació</t>
        </r>
      </text>
    </comment>
    <comment ref="G5" authorId="0" shapeId="0" xr:uid="{00000000-0006-0000-0000-000007000000}">
      <text>
        <r>
          <rPr>
            <sz val="9"/>
            <color rgb="FF000000"/>
            <rFont val="Calibri"/>
          </rPr>
          <t>Curs
acadèmic</t>
        </r>
      </text>
    </comment>
    <comment ref="H5" authorId="0" shapeId="0" xr:uid="{00000000-0006-0000-0000-000008000000}">
      <text>
        <r>
          <rPr>
            <sz val="9"/>
            <color rgb="FF000000"/>
            <rFont val="Calibri"/>
          </rPr>
          <t>Gènere</t>
        </r>
      </text>
    </comment>
    <comment ref="I5" authorId="0" shapeId="0" xr:uid="{00000000-0006-0000-0000-000009000000}">
      <text>
        <r>
          <rPr>
            <sz val="9"/>
            <color rgb="FF000000"/>
            <rFont val="Calibri"/>
          </rPr>
          <t>Grau que
cursa</t>
        </r>
      </text>
    </comment>
    <comment ref="J5" authorId="0" shapeId="0" xr:uid="{00000000-0006-0000-0000-00000A000000}">
      <text>
        <r>
          <rPr>
            <sz val="9"/>
            <color rgb="FF000000"/>
            <rFont val="Calibri"/>
          </rPr>
          <t>Dedicació
laboral</t>
        </r>
      </text>
    </comment>
    <comment ref="K5" authorId="0" shapeId="0" xr:uid="{00000000-0006-0000-0000-00000B000000}">
      <text>
        <r>
          <rPr>
            <sz val="9"/>
            <color rgb="FF000000"/>
            <rFont val="Calibri"/>
          </rPr>
          <t>IA: ús habitual
estudi</t>
        </r>
      </text>
    </comment>
    <comment ref="L5" authorId="0" shapeId="0" xr:uid="{00000000-0006-0000-0000-00000C000000}">
      <text>
        <r>
          <rPr>
            <sz val="9"/>
            <color rgb="FF000000"/>
            <rFont val="Calibri"/>
          </rPr>
          <t>IA: ajuda a
entendre</t>
        </r>
      </text>
    </comment>
    <comment ref="M5" authorId="0" shapeId="0" xr:uid="{00000000-0006-0000-0000-00000D000000}">
      <text>
        <r>
          <rPr>
            <sz val="9"/>
            <color rgb="FF000000"/>
            <rFont val="Calibri"/>
          </rPr>
          <t>IA: millora
rendiment</t>
        </r>
      </text>
    </comment>
    <comment ref="N5" authorId="0" shapeId="0" xr:uid="{00000000-0006-0000-0000-00000E000000}">
      <text>
        <r>
          <rPr>
            <sz val="9"/>
            <color rgb="FF000000"/>
            <rFont val="Calibri"/>
          </rPr>
          <t>IA: processa
PDFs</t>
        </r>
      </text>
    </comment>
    <comment ref="O5" authorId="0" shapeId="0" xr:uid="{00000000-0006-0000-0000-00000F000000}">
      <text>
        <r>
          <rPr>
            <sz val="9"/>
            <color rgb="FF000000"/>
            <rFont val="Calibri"/>
          </rPr>
          <t>IA: substitut
de classe</t>
        </r>
      </text>
    </comment>
    <comment ref="P5" authorId="0" shapeId="0" xr:uid="{00000000-0006-0000-0000-000010000000}">
      <text>
        <r>
          <rPr>
            <sz val="9"/>
            <color rgb="FF000000"/>
            <rFont val="Calibri"/>
          </rPr>
          <t>IA: redueix
atenció</t>
        </r>
      </text>
    </comment>
    <comment ref="Q5" authorId="0" shapeId="0" xr:uid="{00000000-0006-0000-0000-000011000000}">
      <text>
        <r>
          <rPr>
            <sz val="9"/>
            <color rgb="FF000000"/>
            <rFont val="Calibri"/>
          </rPr>
          <t>Confia IA més
que professor</t>
        </r>
      </text>
    </comment>
  </commentList>
</comments>
</file>

<file path=xl/sharedStrings.xml><?xml version="1.0" encoding="utf-8"?>
<sst xmlns="http://schemas.openxmlformats.org/spreadsheetml/2006/main" count="132" uniqueCount="79">
  <si>
    <t>PLANTILLA ALUMNAT NOU — Predicció de risc d'absentisme (TFG FEE/UB)</t>
  </si>
  <si>
    <t>Emplena les columnes BLAVES (A-Q). Les columnes GRISES es calculen automàticament. Un cop omplert, exporta les columnes S:NA com a CSV i puja-les al Shiny (pestanya Alumnat nou).</t>
  </si>
  <si>
    <t>NOTA: 1=5.0-5.9  |  2=6.0-6.9  |  3=7.0-7.9  |  4=8.0-8.9  |  5=≥9.0     IA_* (escala Likert):  1=mai  2=gairebé mai  3=de vegades  4=sovint  5=molt sovint  6=sempre</t>
  </si>
  <si>
    <t>ENTRADA DE DADES (emplenar)</t>
  </si>
  <si>
    <t>VARIABLES DEL MODEL — calculades automàticament (exportar com a CSV per al Shiny)</t>
  </si>
  <si>
    <t>id</t>
  </si>
  <si>
    <t>EDAT</t>
  </si>
  <si>
    <t>DESPL</t>
  </si>
  <si>
    <t>N_ASSIG</t>
  </si>
  <si>
    <t>NOTA</t>
  </si>
  <si>
    <t>T_AVAL</t>
  </si>
  <si>
    <t>CURS</t>
  </si>
  <si>
    <t>GENERE</t>
  </si>
  <si>
    <t>GRAU</t>
  </si>
  <si>
    <t>DEDIC</t>
  </si>
  <si>
    <t>IA_HABIT</t>
  </si>
  <si>
    <t>IA_COMPR</t>
  </si>
  <si>
    <t>IA_REND</t>
  </si>
  <si>
    <t>IA_PDFS</t>
  </si>
  <si>
    <t>IA_SUBST</t>
  </si>
  <si>
    <t>IA_ATENC</t>
  </si>
  <si>
    <t>IA_CONF</t>
  </si>
  <si>
    <t>NOTA_num</t>
  </si>
  <si>
    <t>T_AVAL_num</t>
  </si>
  <si>
    <t>CURS_1R</t>
  </si>
  <si>
    <t>GENERE_Home</t>
  </si>
  <si>
    <t>DOBLE_GRAU_EST</t>
  </si>
  <si>
    <t>TREB_INTENS</t>
  </si>
  <si>
    <t>ADE</t>
  </si>
  <si>
    <t>ADE (EP)</t>
  </si>
  <si>
    <t>Economia</t>
  </si>
  <si>
    <t>Economia (EP)</t>
  </si>
  <si>
    <t>GE</t>
  </si>
  <si>
    <t>Estadística</t>
  </si>
  <si>
    <t>Doble Eco+Est</t>
  </si>
  <si>
    <t>Doble ADE+Soc</t>
  </si>
  <si>
    <t>Doble ADE+Mat</t>
  </si>
  <si>
    <t>Doble ADE+Dret</t>
  </si>
  <si>
    <t>Doble ADE+Qui</t>
  </si>
  <si>
    <t>COM USAR AQUESTA PLANTILLA</t>
  </si>
  <si>
    <t/>
  </si>
  <si>
    <t>1. Omple les columnes BLAVES (A fins Q), una fila per alumne.</t>
  </si>
  <si>
    <t>2. Les columnes GRISES (a la dreta) es calculen soles amb fórmules d'Excel.</t>
  </si>
  <si>
    <t>3. Un cop omplert:</t>
  </si>
  <si>
    <t xml:space="preserve">   a. Selecciona les columnes grises (EDAT fins IA_CONF del model).</t>
  </si>
  <si>
    <t xml:space="preserve">   b. Copia-les i enganxa-les en un nou full/arxiu (Enganxa especial &gt; Valors).</t>
  </si>
  <si>
    <t xml:space="preserve">   c. Desa com a CSV (UTF-8).</t>
  </si>
  <si>
    <t>4. Puja el CSV al Shiny, pestanya 'Alumnat nou'.</t>
  </si>
  <si>
    <t>CODIFICACIÓ DE LES VARIABLES</t>
  </si>
  <si>
    <t>NOTA (nota d'accés a la universitat o expedient previ):</t>
  </si>
  <si>
    <t xml:space="preserve">  1 = 5.0 - 5.9   2 = 6.0 - 6.9   3 = 7.0 - 7.9   4 = 8.0 - 8.9   5 = 9.0 o més</t>
  </si>
  <si>
    <t>T_AVAL (tipus d'avaluació de les assignatures):</t>
  </si>
  <si>
    <t xml:space="preserve">  Continuada = avaluació continuada   |   Única = examen únic</t>
  </si>
  <si>
    <t>CURS: 1r / 2n / 3r / 4t / 5è / 6è</t>
  </si>
  <si>
    <t>GENERE: Home / Dona / Altre</t>
  </si>
  <si>
    <t>GRAU (afecta DOBLE_GRAU_EST=1 si és un dels dobles graus):</t>
  </si>
  <si>
    <t xml:space="preserve">  Dobles grau: Estadística | Doble Eco+Est | Doble ADE+Soc | Doble ADE+Mat | Doble ADE+Dret | Doble ADE+Qui</t>
  </si>
  <si>
    <t xml:space="preserve">  Graus simples: ADE | ADE (EP) | Economia | Economia (EP) | GE</t>
  </si>
  <si>
    <t>DEDIC (dedicació laboral):</t>
  </si>
  <si>
    <t xml:space="preserve">  Estudiant a TC = estudia a temps complet, no treballa</t>
  </si>
  <si>
    <t xml:space="preserve">  Treballa ocasionalment = feina esporàdica</t>
  </si>
  <si>
    <t xml:space="preserve">  T.Parcial = treballa a temps parcial (TREB_INTENS = 1)</t>
  </si>
  <si>
    <t xml:space="preserve">  T.Complet = treballa a temps complet (TREB_INTENS = 1)</t>
  </si>
  <si>
    <t>IA_* (escala Likert 1-6):</t>
  </si>
  <si>
    <t xml:space="preserve">  1=mai  2=gairebé mai  3=de vegades  4=sovint  5=molt sovint  6=sempre</t>
  </si>
  <si>
    <t>VARIABLES DEL MODEL (columnes grises — no editar):</t>
  </si>
  <si>
    <t>EDAT, DESPL, N_ASSIG, NOTA_num, T_AVAL_num, CURS_1R, GENERE_Home, DOBLE_GRAU_EST, TREB_INTENS, IA_HABIT, IA_COMPR, IA_REND, IA_PDFS, IA_SUBST, IA_ATENC, IA_CONF</t>
  </si>
  <si>
    <t>Continuada</t>
  </si>
  <si>
    <t>Única</t>
  </si>
  <si>
    <t>1r</t>
  </si>
  <si>
    <t>2n</t>
  </si>
  <si>
    <t>3r</t>
  </si>
  <si>
    <t>4t</t>
  </si>
  <si>
    <t>5è</t>
  </si>
  <si>
    <t>Home</t>
  </si>
  <si>
    <t>Dona</t>
  </si>
  <si>
    <t>T.Parcial</t>
  </si>
  <si>
    <t>Treballa ocasionalment</t>
  </si>
  <si>
    <t>Estudiant a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</si>
</sst>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color rgb="FF2C3E50"/>
      <name val="Calibri"/>
    </font>
    <font>
      <b/>
      <sz val="9"/>
      <color rgb="FFFFFFFF"/>
      <name val="Calibri"/>
    </font>
    <font>
      <b/>
      <sz val="9"/>
      <color rgb="FF2C3E50"/>
      <name val="Calibri"/>
    </font>
    <font>
      <sz val="10"/>
      <color rgb="FF000000"/>
      <name val="Calibri"/>
    </font>
    <font>
      <b/>
      <sz val="12"/>
      <color rgb="FFFFFFFF"/>
      <name val="Calibri"/>
    </font>
    <font>
      <sz val="9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6E9E"/>
      </patternFill>
    </fill>
    <fill>
      <patternFill patternType="solid">
        <fgColor rgb="FFA8D1E7"/>
      </patternFill>
    </fill>
    <fill>
      <patternFill patternType="solid">
        <fgColor rgb="FF4A90B8"/>
      </patternFill>
    </fill>
    <fill>
      <patternFill patternType="solid">
        <fgColor rgb="FFD5E9F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7" fillId="0" borderId="0" xfId="0" applyFont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G23" sqref="G23"/>
    </sheetView>
  </sheetViews>
  <sheetFormatPr baseColWidth="10" defaultRowHeight="15" x14ac:dyDescent="0.25"/>
  <cols>
    <col min="1" max="1" width="10.7109375" customWidth="1"/>
    <col min="2" max="5" width="9.7109375" customWidth="1"/>
    <col min="6" max="7" width="12.7109375" customWidth="1"/>
    <col min="8" max="8" width="10.7109375" customWidth="1"/>
    <col min="9" max="9" width="16.7109375" customWidth="1"/>
    <col min="10" max="10" width="18.7109375" customWidth="1"/>
    <col min="11" max="17" width="9.7109375" customWidth="1"/>
    <col min="18" max="18" width="2.7109375" customWidth="1"/>
    <col min="19" max="20" width="7.7109375" customWidth="1"/>
    <col min="21" max="21" width="8.7109375" customWidth="1"/>
    <col min="22" max="22" width="9.7109375" customWidth="1"/>
    <col min="23" max="23" width="10.7109375" customWidth="1"/>
    <col min="24" max="24" width="8.7109375" customWidth="1"/>
    <col min="25" max="25" width="12.7109375" customWidth="1"/>
    <col min="26" max="26" width="15.7109375" customWidth="1"/>
    <col min="27" max="27" width="12.7109375" customWidth="1"/>
    <col min="28" max="34" width="8.7109375" customWidth="1"/>
  </cols>
  <sheetData>
    <row r="1" spans="1:34" ht="26.1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18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15.95" customHeight="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15.95" customHeight="1" x14ac:dyDescent="0.2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S4" s="10" t="s">
        <v>4</v>
      </c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ht="32.1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S5" s="2" t="s">
        <v>6</v>
      </c>
      <c r="T5" s="2" t="s">
        <v>7</v>
      </c>
      <c r="U5" s="2" t="s">
        <v>8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15</v>
      </c>
      <c r="AC5" s="2" t="s">
        <v>16</v>
      </c>
      <c r="AD5" s="2" t="s">
        <v>17</v>
      </c>
      <c r="AE5" s="2" t="s">
        <v>18</v>
      </c>
      <c r="AF5" s="2" t="s">
        <v>19</v>
      </c>
      <c r="AG5" s="2" t="s">
        <v>20</v>
      </c>
      <c r="AH5" s="2" t="s">
        <v>21</v>
      </c>
    </row>
    <row r="6" spans="1:34" x14ac:dyDescent="0.25">
      <c r="A6" s="3">
        <v>20553293</v>
      </c>
      <c r="B6" s="3">
        <v>21</v>
      </c>
      <c r="C6" s="3">
        <v>40</v>
      </c>
      <c r="D6" s="3">
        <v>10</v>
      </c>
      <c r="E6" s="3">
        <v>1</v>
      </c>
      <c r="F6" s="3" t="s">
        <v>68</v>
      </c>
      <c r="G6" s="3" t="s">
        <v>70</v>
      </c>
      <c r="H6" s="3" t="s">
        <v>74</v>
      </c>
      <c r="I6" s="3" t="s">
        <v>28</v>
      </c>
      <c r="J6" s="3" t="s">
        <v>77</v>
      </c>
      <c r="K6" s="3">
        <v>6</v>
      </c>
      <c r="L6" s="3">
        <v>5</v>
      </c>
      <c r="M6" s="3">
        <v>5</v>
      </c>
      <c r="N6" s="3">
        <v>5</v>
      </c>
      <c r="O6" s="3">
        <v>6</v>
      </c>
      <c r="P6" s="3">
        <v>6</v>
      </c>
      <c r="Q6" s="3">
        <v>5</v>
      </c>
      <c r="S6" s="4">
        <f t="shared" ref="S6:S37" si="0">IF(B6="","",B6)</f>
        <v>21</v>
      </c>
      <c r="T6" s="4">
        <f t="shared" ref="T6:T37" si="1">IF(C6="","",C6)</f>
        <v>40</v>
      </c>
      <c r="U6" s="4">
        <f t="shared" ref="U6:U37" si="2">IF(D6="","",D6)</f>
        <v>10</v>
      </c>
      <c r="V6" s="4">
        <f t="shared" ref="V6:V37" si="3">IF(E6="","",E6)</f>
        <v>1</v>
      </c>
      <c r="W6" s="4">
        <f t="shared" ref="W6:W37" si="4">IF(F6="","",IF(F6="Continuada",1,0))</f>
        <v>0</v>
      </c>
      <c r="X6" s="4">
        <f t="shared" ref="X6:X37" si="5">IF(G6="","",IF(G6="1r",1,0))</f>
        <v>0</v>
      </c>
      <c r="Y6" s="4">
        <f t="shared" ref="Y6:Y37" si="6">IF(H6="","",IF(H6="Home",1,0))</f>
        <v>1</v>
      </c>
      <c r="Z6" s="4">
        <f t="shared" ref="Z6:Z37" si="7">IF(I6="","",IF(OR(I6="Estadística",I6="Doble Eco+Est",I6="Doble ADE+Soc",I6="Doble ADE+Mat",I6="Doble ADE+Dret",I6="Doble ADE+Qui"),1,0))</f>
        <v>0</v>
      </c>
      <c r="AA6" s="4">
        <f t="shared" ref="AA6:AA37" si="8">IF(J6="","",IF(OR(J6="T.Parcial",J6="T.Complet"),1,0))</f>
        <v>0</v>
      </c>
      <c r="AB6" s="4">
        <f t="shared" ref="AB6:AB37" si="9">IF(K6="","",K6)</f>
        <v>6</v>
      </c>
      <c r="AC6" s="4">
        <f t="shared" ref="AC6:AC37" si="10">IF(L6="","",L6)</f>
        <v>5</v>
      </c>
      <c r="AD6" s="4">
        <f t="shared" ref="AD6:AD37" si="11">IF(M6="","",M6)</f>
        <v>5</v>
      </c>
      <c r="AE6" s="4">
        <f t="shared" ref="AE6:AE37" si="12">IF(N6="","",N6)</f>
        <v>5</v>
      </c>
      <c r="AF6" s="4">
        <f t="shared" ref="AF6:AF37" si="13">IF(O6="","",O6)</f>
        <v>6</v>
      </c>
      <c r="AG6" s="4">
        <f t="shared" ref="AG6:AG37" si="14">IF(P6="","",P6)</f>
        <v>6</v>
      </c>
      <c r="AH6" s="4">
        <f t="shared" ref="AH6:AH37" si="15">IF(Q6="","",Q6)</f>
        <v>5</v>
      </c>
    </row>
    <row r="7" spans="1:34" x14ac:dyDescent="0.25">
      <c r="A7" s="3">
        <v>20553294</v>
      </c>
      <c r="B7" s="3">
        <v>17</v>
      </c>
      <c r="C7" s="3">
        <v>60</v>
      </c>
      <c r="D7" s="3">
        <v>12</v>
      </c>
      <c r="E7" s="3">
        <v>2</v>
      </c>
      <c r="F7" s="3" t="s">
        <v>68</v>
      </c>
      <c r="G7" s="3" t="s">
        <v>71</v>
      </c>
      <c r="H7" s="3" t="s">
        <v>75</v>
      </c>
      <c r="I7" s="3" t="s">
        <v>38</v>
      </c>
      <c r="J7" s="3" t="s">
        <v>78</v>
      </c>
      <c r="K7" s="3">
        <v>4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S7" s="4">
        <f t="shared" si="0"/>
        <v>17</v>
      </c>
      <c r="T7" s="4">
        <f t="shared" si="1"/>
        <v>60</v>
      </c>
      <c r="U7" s="4">
        <f t="shared" si="2"/>
        <v>12</v>
      </c>
      <c r="V7" s="4">
        <f t="shared" si="3"/>
        <v>2</v>
      </c>
      <c r="W7" s="4">
        <f t="shared" si="4"/>
        <v>0</v>
      </c>
      <c r="X7" s="4">
        <f t="shared" si="5"/>
        <v>0</v>
      </c>
      <c r="Y7" s="4">
        <f t="shared" si="6"/>
        <v>0</v>
      </c>
      <c r="Z7" s="4">
        <f t="shared" si="7"/>
        <v>1</v>
      </c>
      <c r="AA7" s="4">
        <f t="shared" si="8"/>
        <v>0</v>
      </c>
      <c r="AB7" s="4">
        <f t="shared" si="9"/>
        <v>4</v>
      </c>
      <c r="AC7" s="4">
        <f t="shared" si="10"/>
        <v>5</v>
      </c>
      <c r="AD7" s="4">
        <f t="shared" si="11"/>
        <v>5</v>
      </c>
      <c r="AE7" s="4">
        <f t="shared" si="12"/>
        <v>5</v>
      </c>
      <c r="AF7" s="4">
        <f t="shared" si="13"/>
        <v>5</v>
      </c>
      <c r="AG7" s="4">
        <f t="shared" si="14"/>
        <v>5</v>
      </c>
      <c r="AH7" s="4">
        <f t="shared" si="15"/>
        <v>5</v>
      </c>
    </row>
    <row r="8" spans="1:34" x14ac:dyDescent="0.25">
      <c r="A8" s="3">
        <v>20553295</v>
      </c>
      <c r="B8" s="3">
        <v>22</v>
      </c>
      <c r="C8" s="3">
        <v>20</v>
      </c>
      <c r="D8" s="3">
        <v>10</v>
      </c>
      <c r="E8" s="3">
        <v>2</v>
      </c>
      <c r="F8" s="3" t="s">
        <v>67</v>
      </c>
      <c r="G8" s="3" t="s">
        <v>69</v>
      </c>
      <c r="H8" s="3" t="s">
        <v>74</v>
      </c>
      <c r="I8" s="3" t="s">
        <v>30</v>
      </c>
      <c r="J8" s="3" t="s">
        <v>78</v>
      </c>
      <c r="K8" s="3">
        <v>5</v>
      </c>
      <c r="L8" s="3">
        <v>3</v>
      </c>
      <c r="M8" s="3">
        <v>3</v>
      </c>
      <c r="N8" s="3">
        <v>3</v>
      </c>
      <c r="O8" s="3">
        <v>2</v>
      </c>
      <c r="P8" s="3">
        <v>2</v>
      </c>
      <c r="Q8" s="3">
        <v>3</v>
      </c>
      <c r="S8" s="4">
        <f t="shared" si="0"/>
        <v>22</v>
      </c>
      <c r="T8" s="4">
        <f t="shared" si="1"/>
        <v>20</v>
      </c>
      <c r="U8" s="4">
        <f t="shared" si="2"/>
        <v>10</v>
      </c>
      <c r="V8" s="4">
        <f t="shared" si="3"/>
        <v>2</v>
      </c>
      <c r="W8" s="4">
        <f t="shared" si="4"/>
        <v>1</v>
      </c>
      <c r="X8" s="4">
        <f t="shared" si="5"/>
        <v>1</v>
      </c>
      <c r="Y8" s="4">
        <f t="shared" si="6"/>
        <v>1</v>
      </c>
      <c r="Z8" s="4">
        <f t="shared" si="7"/>
        <v>0</v>
      </c>
      <c r="AA8" s="4">
        <f t="shared" si="8"/>
        <v>0</v>
      </c>
      <c r="AB8" s="4">
        <f t="shared" si="9"/>
        <v>5</v>
      </c>
      <c r="AC8" s="4">
        <f t="shared" si="10"/>
        <v>3</v>
      </c>
      <c r="AD8" s="4">
        <f t="shared" si="11"/>
        <v>3</v>
      </c>
      <c r="AE8" s="4">
        <f t="shared" si="12"/>
        <v>3</v>
      </c>
      <c r="AF8" s="4">
        <f t="shared" si="13"/>
        <v>2</v>
      </c>
      <c r="AG8" s="4">
        <f t="shared" si="14"/>
        <v>2</v>
      </c>
      <c r="AH8" s="4">
        <f t="shared" si="15"/>
        <v>3</v>
      </c>
    </row>
    <row r="9" spans="1:34" x14ac:dyDescent="0.25">
      <c r="A9" s="3">
        <v>20553296</v>
      </c>
      <c r="B9" s="3">
        <v>18</v>
      </c>
      <c r="C9" s="3">
        <v>15</v>
      </c>
      <c r="D9" s="3">
        <v>10</v>
      </c>
      <c r="E9" s="3">
        <v>3</v>
      </c>
      <c r="F9" s="3" t="s">
        <v>67</v>
      </c>
      <c r="G9" s="3" t="s">
        <v>69</v>
      </c>
      <c r="H9" s="3" t="s">
        <v>75</v>
      </c>
      <c r="I9" s="3" t="s">
        <v>30</v>
      </c>
      <c r="J9" s="3" t="s">
        <v>77</v>
      </c>
      <c r="K9" s="3">
        <v>3</v>
      </c>
      <c r="L9" s="3">
        <v>4</v>
      </c>
      <c r="M9" s="3">
        <v>4</v>
      </c>
      <c r="N9" s="3">
        <v>4</v>
      </c>
      <c r="O9" s="3">
        <v>2</v>
      </c>
      <c r="P9" s="3">
        <v>2</v>
      </c>
      <c r="Q9" s="3">
        <v>4</v>
      </c>
      <c r="S9" s="4">
        <f t="shared" si="0"/>
        <v>18</v>
      </c>
      <c r="T9" s="4">
        <f t="shared" si="1"/>
        <v>15</v>
      </c>
      <c r="U9" s="4">
        <f t="shared" si="2"/>
        <v>10</v>
      </c>
      <c r="V9" s="4">
        <f t="shared" si="3"/>
        <v>3</v>
      </c>
      <c r="W9" s="4">
        <f t="shared" si="4"/>
        <v>1</v>
      </c>
      <c r="X9" s="4">
        <f t="shared" si="5"/>
        <v>1</v>
      </c>
      <c r="Y9" s="4">
        <f t="shared" si="6"/>
        <v>0</v>
      </c>
      <c r="Z9" s="4">
        <f t="shared" si="7"/>
        <v>0</v>
      </c>
      <c r="AA9" s="4">
        <f t="shared" si="8"/>
        <v>0</v>
      </c>
      <c r="AB9" s="4">
        <f t="shared" si="9"/>
        <v>3</v>
      </c>
      <c r="AC9" s="4">
        <f t="shared" si="10"/>
        <v>4</v>
      </c>
      <c r="AD9" s="4">
        <f t="shared" si="11"/>
        <v>4</v>
      </c>
      <c r="AE9" s="4">
        <f t="shared" si="12"/>
        <v>4</v>
      </c>
      <c r="AF9" s="4">
        <f t="shared" si="13"/>
        <v>2</v>
      </c>
      <c r="AG9" s="4">
        <f t="shared" si="14"/>
        <v>2</v>
      </c>
      <c r="AH9" s="4">
        <f t="shared" si="15"/>
        <v>4</v>
      </c>
    </row>
    <row r="10" spans="1:34" x14ac:dyDescent="0.25">
      <c r="A10" s="3">
        <v>20553297</v>
      </c>
      <c r="B10" s="3">
        <v>25</v>
      </c>
      <c r="C10" s="3">
        <v>25</v>
      </c>
      <c r="D10" s="3">
        <v>10</v>
      </c>
      <c r="E10" s="3">
        <v>3</v>
      </c>
      <c r="F10" s="3" t="s">
        <v>67</v>
      </c>
      <c r="G10" s="3" t="s">
        <v>72</v>
      </c>
      <c r="H10" s="3" t="s">
        <v>75</v>
      </c>
      <c r="I10" s="3" t="s">
        <v>33</v>
      </c>
      <c r="J10" s="3" t="s">
        <v>78</v>
      </c>
      <c r="K10" s="3">
        <v>1</v>
      </c>
      <c r="L10" s="3">
        <v>2</v>
      </c>
      <c r="M10" s="3">
        <v>2</v>
      </c>
      <c r="N10" s="3">
        <v>2</v>
      </c>
      <c r="O10" s="3">
        <v>1</v>
      </c>
      <c r="P10" s="3">
        <v>1</v>
      </c>
      <c r="Q10" s="3">
        <v>2</v>
      </c>
      <c r="S10" s="4">
        <f t="shared" si="0"/>
        <v>25</v>
      </c>
      <c r="T10" s="4">
        <f t="shared" si="1"/>
        <v>25</v>
      </c>
      <c r="U10" s="4">
        <f t="shared" si="2"/>
        <v>10</v>
      </c>
      <c r="V10" s="4">
        <f t="shared" si="3"/>
        <v>3</v>
      </c>
      <c r="W10" s="4">
        <f t="shared" si="4"/>
        <v>1</v>
      </c>
      <c r="X10" s="4">
        <f t="shared" si="5"/>
        <v>0</v>
      </c>
      <c r="Y10" s="4">
        <f t="shared" si="6"/>
        <v>0</v>
      </c>
      <c r="Z10" s="4">
        <f t="shared" si="7"/>
        <v>1</v>
      </c>
      <c r="AA10" s="4">
        <f t="shared" si="8"/>
        <v>0</v>
      </c>
      <c r="AB10" s="4">
        <f t="shared" si="9"/>
        <v>1</v>
      </c>
      <c r="AC10" s="4">
        <f t="shared" si="10"/>
        <v>2</v>
      </c>
      <c r="AD10" s="4">
        <f t="shared" si="11"/>
        <v>2</v>
      </c>
      <c r="AE10" s="4">
        <f t="shared" si="12"/>
        <v>2</v>
      </c>
      <c r="AF10" s="4">
        <f t="shared" si="13"/>
        <v>1</v>
      </c>
      <c r="AG10" s="4">
        <f t="shared" si="14"/>
        <v>1</v>
      </c>
      <c r="AH10" s="4">
        <f t="shared" si="15"/>
        <v>2</v>
      </c>
    </row>
    <row r="11" spans="1:34" x14ac:dyDescent="0.25">
      <c r="A11" s="3">
        <v>20553298</v>
      </c>
      <c r="B11" s="3">
        <v>28</v>
      </c>
      <c r="C11" s="3">
        <v>70</v>
      </c>
      <c r="D11" s="3">
        <v>10</v>
      </c>
      <c r="E11" s="3">
        <v>3</v>
      </c>
      <c r="F11" s="3" t="s">
        <v>67</v>
      </c>
      <c r="G11" s="3" t="s">
        <v>71</v>
      </c>
      <c r="H11" s="3" t="s">
        <v>74</v>
      </c>
      <c r="I11" s="3" t="s">
        <v>33</v>
      </c>
      <c r="J11" s="3" t="s">
        <v>78</v>
      </c>
      <c r="K11" s="3">
        <v>3</v>
      </c>
      <c r="L11" s="3">
        <v>4</v>
      </c>
      <c r="M11" s="3">
        <v>4</v>
      </c>
      <c r="N11" s="3">
        <v>4</v>
      </c>
      <c r="O11" s="3">
        <v>2</v>
      </c>
      <c r="P11" s="3">
        <v>2</v>
      </c>
      <c r="Q11" s="3">
        <v>4</v>
      </c>
      <c r="S11" s="4">
        <f t="shared" si="0"/>
        <v>28</v>
      </c>
      <c r="T11" s="4">
        <f t="shared" si="1"/>
        <v>70</v>
      </c>
      <c r="U11" s="4">
        <f t="shared" si="2"/>
        <v>10</v>
      </c>
      <c r="V11" s="4">
        <f t="shared" si="3"/>
        <v>3</v>
      </c>
      <c r="W11" s="4">
        <f t="shared" si="4"/>
        <v>1</v>
      </c>
      <c r="X11" s="4">
        <f t="shared" si="5"/>
        <v>0</v>
      </c>
      <c r="Y11" s="4">
        <f t="shared" si="6"/>
        <v>1</v>
      </c>
      <c r="Z11" s="4">
        <f t="shared" si="7"/>
        <v>1</v>
      </c>
      <c r="AA11" s="4">
        <f t="shared" si="8"/>
        <v>0</v>
      </c>
      <c r="AB11" s="4">
        <f t="shared" si="9"/>
        <v>3</v>
      </c>
      <c r="AC11" s="4">
        <f t="shared" si="10"/>
        <v>4</v>
      </c>
      <c r="AD11" s="4">
        <f t="shared" si="11"/>
        <v>4</v>
      </c>
      <c r="AE11" s="4">
        <f t="shared" si="12"/>
        <v>4</v>
      </c>
      <c r="AF11" s="4">
        <f t="shared" si="13"/>
        <v>2</v>
      </c>
      <c r="AG11" s="4">
        <f t="shared" si="14"/>
        <v>2</v>
      </c>
      <c r="AH11" s="4">
        <f t="shared" si="15"/>
        <v>4</v>
      </c>
    </row>
    <row r="12" spans="1:34" x14ac:dyDescent="0.25">
      <c r="A12" s="3">
        <v>20553299</v>
      </c>
      <c r="B12" s="3">
        <v>30</v>
      </c>
      <c r="C12" s="3">
        <v>80</v>
      </c>
      <c r="D12" s="3">
        <v>14</v>
      </c>
      <c r="E12" s="3">
        <v>4</v>
      </c>
      <c r="F12" s="3" t="s">
        <v>67</v>
      </c>
      <c r="G12" s="3" t="s">
        <v>73</v>
      </c>
      <c r="H12" s="3" t="s">
        <v>75</v>
      </c>
      <c r="I12" s="3" t="s">
        <v>34</v>
      </c>
      <c r="J12" s="3" t="s">
        <v>78</v>
      </c>
      <c r="K12" s="3">
        <v>4</v>
      </c>
      <c r="L12" s="3">
        <v>3</v>
      </c>
      <c r="M12" s="3">
        <v>3</v>
      </c>
      <c r="N12" s="3">
        <v>3</v>
      </c>
      <c r="O12" s="3">
        <v>1</v>
      </c>
      <c r="P12" s="3">
        <v>1</v>
      </c>
      <c r="Q12" s="3">
        <v>3</v>
      </c>
      <c r="S12" s="4">
        <f t="shared" si="0"/>
        <v>30</v>
      </c>
      <c r="T12" s="4">
        <f t="shared" si="1"/>
        <v>80</v>
      </c>
      <c r="U12" s="4">
        <f t="shared" si="2"/>
        <v>14</v>
      </c>
      <c r="V12" s="4">
        <f t="shared" si="3"/>
        <v>4</v>
      </c>
      <c r="W12" s="4">
        <f t="shared" si="4"/>
        <v>1</v>
      </c>
      <c r="X12" s="4">
        <f t="shared" si="5"/>
        <v>0</v>
      </c>
      <c r="Y12" s="4">
        <f t="shared" si="6"/>
        <v>0</v>
      </c>
      <c r="Z12" s="4">
        <f t="shared" si="7"/>
        <v>1</v>
      </c>
      <c r="AA12" s="4">
        <f t="shared" si="8"/>
        <v>0</v>
      </c>
      <c r="AB12" s="4">
        <f t="shared" si="9"/>
        <v>4</v>
      </c>
      <c r="AC12" s="4">
        <f t="shared" si="10"/>
        <v>3</v>
      </c>
      <c r="AD12" s="4">
        <f t="shared" si="11"/>
        <v>3</v>
      </c>
      <c r="AE12" s="4">
        <f t="shared" si="12"/>
        <v>3</v>
      </c>
      <c r="AF12" s="4">
        <f t="shared" si="13"/>
        <v>1</v>
      </c>
      <c r="AG12" s="4">
        <f t="shared" si="14"/>
        <v>1</v>
      </c>
      <c r="AH12" s="4">
        <f t="shared" si="15"/>
        <v>3</v>
      </c>
    </row>
    <row r="13" spans="1:34" x14ac:dyDescent="0.25">
      <c r="A13" s="3">
        <v>20553300</v>
      </c>
      <c r="B13" s="3">
        <v>21</v>
      </c>
      <c r="C13" s="3">
        <v>30</v>
      </c>
      <c r="D13" s="3">
        <v>8</v>
      </c>
      <c r="E13" s="3">
        <v>1</v>
      </c>
      <c r="F13" s="3" t="s">
        <v>68</v>
      </c>
      <c r="G13" s="3" t="s">
        <v>69</v>
      </c>
      <c r="H13" s="3" t="s">
        <v>75</v>
      </c>
      <c r="I13" s="3" t="s">
        <v>28</v>
      </c>
      <c r="J13" s="3" t="s">
        <v>76</v>
      </c>
      <c r="K13" s="3">
        <v>6</v>
      </c>
      <c r="L13" s="3">
        <v>4</v>
      </c>
      <c r="M13" s="3">
        <v>4</v>
      </c>
      <c r="N13" s="3">
        <v>4</v>
      </c>
      <c r="O13" s="3">
        <v>6</v>
      </c>
      <c r="P13" s="3">
        <v>6</v>
      </c>
      <c r="Q13" s="3">
        <v>4</v>
      </c>
      <c r="S13" s="4">
        <f t="shared" si="0"/>
        <v>21</v>
      </c>
      <c r="T13" s="4">
        <f t="shared" si="1"/>
        <v>30</v>
      </c>
      <c r="U13" s="4">
        <f t="shared" si="2"/>
        <v>8</v>
      </c>
      <c r="V13" s="4">
        <f t="shared" si="3"/>
        <v>1</v>
      </c>
      <c r="W13" s="4">
        <f t="shared" si="4"/>
        <v>0</v>
      </c>
      <c r="X13" s="4">
        <f t="shared" si="5"/>
        <v>1</v>
      </c>
      <c r="Y13" s="4">
        <f t="shared" si="6"/>
        <v>0</v>
      </c>
      <c r="Z13" s="4">
        <f t="shared" si="7"/>
        <v>0</v>
      </c>
      <c r="AA13" s="4">
        <f t="shared" si="8"/>
        <v>1</v>
      </c>
      <c r="AB13" s="4">
        <f t="shared" si="9"/>
        <v>6</v>
      </c>
      <c r="AC13" s="4">
        <f t="shared" si="10"/>
        <v>4</v>
      </c>
      <c r="AD13" s="4">
        <f t="shared" si="11"/>
        <v>4</v>
      </c>
      <c r="AE13" s="4">
        <f t="shared" si="12"/>
        <v>4</v>
      </c>
      <c r="AF13" s="4">
        <f t="shared" si="13"/>
        <v>6</v>
      </c>
      <c r="AG13" s="4">
        <f t="shared" si="14"/>
        <v>6</v>
      </c>
      <c r="AH13" s="4">
        <f t="shared" si="15"/>
        <v>4</v>
      </c>
    </row>
    <row r="14" spans="1:34" x14ac:dyDescent="0.25">
      <c r="A14" s="3">
        <v>20553301</v>
      </c>
      <c r="B14" s="3">
        <v>23</v>
      </c>
      <c r="C14" s="3">
        <v>35</v>
      </c>
      <c r="D14" s="3">
        <v>11</v>
      </c>
      <c r="E14" s="3">
        <v>2</v>
      </c>
      <c r="F14" s="3" t="s">
        <v>67</v>
      </c>
      <c r="G14" s="3" t="s">
        <v>72</v>
      </c>
      <c r="H14" s="3" t="s">
        <v>74</v>
      </c>
      <c r="I14" s="3" t="s">
        <v>28</v>
      </c>
      <c r="J14" s="3" t="s">
        <v>78</v>
      </c>
      <c r="K14" s="3">
        <v>5</v>
      </c>
      <c r="L14" s="3">
        <v>6</v>
      </c>
      <c r="M14" s="3">
        <v>6</v>
      </c>
      <c r="N14" s="3">
        <v>6</v>
      </c>
      <c r="O14" s="3">
        <v>3</v>
      </c>
      <c r="P14" s="3">
        <v>3</v>
      </c>
      <c r="Q14" s="3">
        <v>6</v>
      </c>
      <c r="S14" s="4">
        <f t="shared" si="0"/>
        <v>23</v>
      </c>
      <c r="T14" s="4">
        <f t="shared" si="1"/>
        <v>35</v>
      </c>
      <c r="U14" s="4">
        <f t="shared" si="2"/>
        <v>11</v>
      </c>
      <c r="V14" s="4">
        <f t="shared" si="3"/>
        <v>2</v>
      </c>
      <c r="W14" s="4">
        <f t="shared" si="4"/>
        <v>1</v>
      </c>
      <c r="X14" s="4">
        <f t="shared" si="5"/>
        <v>0</v>
      </c>
      <c r="Y14" s="4">
        <f t="shared" si="6"/>
        <v>1</v>
      </c>
      <c r="Z14" s="4">
        <f t="shared" si="7"/>
        <v>0</v>
      </c>
      <c r="AA14" s="4">
        <f t="shared" si="8"/>
        <v>0</v>
      </c>
      <c r="AB14" s="4">
        <f t="shared" si="9"/>
        <v>5</v>
      </c>
      <c r="AC14" s="4">
        <f t="shared" si="10"/>
        <v>6</v>
      </c>
      <c r="AD14" s="4">
        <f t="shared" si="11"/>
        <v>6</v>
      </c>
      <c r="AE14" s="4">
        <f t="shared" si="12"/>
        <v>6</v>
      </c>
      <c r="AF14" s="4">
        <f t="shared" si="13"/>
        <v>3</v>
      </c>
      <c r="AG14" s="4">
        <f t="shared" si="14"/>
        <v>3</v>
      </c>
      <c r="AH14" s="4">
        <f t="shared" si="15"/>
        <v>6</v>
      </c>
    </row>
    <row r="15" spans="1:3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S15" s="4" t="str">
        <f t="shared" si="0"/>
        <v/>
      </c>
      <c r="T15" s="4" t="str">
        <f t="shared" si="1"/>
        <v/>
      </c>
      <c r="U15" s="4" t="str">
        <f t="shared" si="2"/>
        <v/>
      </c>
      <c r="V15" s="4" t="str">
        <f t="shared" si="3"/>
        <v/>
      </c>
      <c r="W15" s="4" t="str">
        <f t="shared" si="4"/>
        <v/>
      </c>
      <c r="X15" s="4" t="str">
        <f t="shared" si="5"/>
        <v/>
      </c>
      <c r="Y15" s="4" t="str">
        <f t="shared" si="6"/>
        <v/>
      </c>
      <c r="Z15" s="4" t="str">
        <f t="shared" si="7"/>
        <v/>
      </c>
      <c r="AA15" s="4" t="str">
        <f t="shared" si="8"/>
        <v/>
      </c>
      <c r="AB15" s="4" t="str">
        <f t="shared" si="9"/>
        <v/>
      </c>
      <c r="AC15" s="4" t="str">
        <f t="shared" si="10"/>
        <v/>
      </c>
      <c r="AD15" s="4" t="str">
        <f t="shared" si="11"/>
        <v/>
      </c>
      <c r="AE15" s="4" t="str">
        <f t="shared" si="12"/>
        <v/>
      </c>
      <c r="AF15" s="4" t="str">
        <f t="shared" si="13"/>
        <v/>
      </c>
      <c r="AG15" s="4" t="str">
        <f t="shared" si="14"/>
        <v/>
      </c>
      <c r="AH15" s="4" t="str">
        <f t="shared" si="15"/>
        <v/>
      </c>
    </row>
    <row r="16" spans="1:3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S16" s="4" t="str">
        <f t="shared" si="0"/>
        <v/>
      </c>
      <c r="T16" s="4" t="str">
        <f t="shared" si="1"/>
        <v/>
      </c>
      <c r="U16" s="4" t="str">
        <f t="shared" si="2"/>
        <v/>
      </c>
      <c r="V16" s="4" t="str">
        <f t="shared" si="3"/>
        <v/>
      </c>
      <c r="W16" s="4" t="str">
        <f t="shared" si="4"/>
        <v/>
      </c>
      <c r="X16" s="4" t="str">
        <f t="shared" si="5"/>
        <v/>
      </c>
      <c r="Y16" s="4" t="str">
        <f t="shared" si="6"/>
        <v/>
      </c>
      <c r="Z16" s="4" t="str">
        <f t="shared" si="7"/>
        <v/>
      </c>
      <c r="AA16" s="4" t="str">
        <f t="shared" si="8"/>
        <v/>
      </c>
      <c r="AB16" s="4" t="str">
        <f t="shared" si="9"/>
        <v/>
      </c>
      <c r="AC16" s="4" t="str">
        <f t="shared" si="10"/>
        <v/>
      </c>
      <c r="AD16" s="4" t="str">
        <f t="shared" si="11"/>
        <v/>
      </c>
      <c r="AE16" s="4" t="str">
        <f t="shared" si="12"/>
        <v/>
      </c>
      <c r="AF16" s="4" t="str">
        <f t="shared" si="13"/>
        <v/>
      </c>
      <c r="AG16" s="4" t="str">
        <f t="shared" si="14"/>
        <v/>
      </c>
      <c r="AH16" s="4" t="str">
        <f t="shared" si="15"/>
        <v/>
      </c>
    </row>
    <row r="17" spans="1:3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S17" s="4" t="str">
        <f t="shared" si="0"/>
        <v/>
      </c>
      <c r="T17" s="4" t="str">
        <f t="shared" si="1"/>
        <v/>
      </c>
      <c r="U17" s="4" t="str">
        <f t="shared" si="2"/>
        <v/>
      </c>
      <c r="V17" s="4" t="str">
        <f t="shared" si="3"/>
        <v/>
      </c>
      <c r="W17" s="4" t="str">
        <f t="shared" si="4"/>
        <v/>
      </c>
      <c r="X17" s="4" t="str">
        <f t="shared" si="5"/>
        <v/>
      </c>
      <c r="Y17" s="4" t="str">
        <f t="shared" si="6"/>
        <v/>
      </c>
      <c r="Z17" s="4" t="str">
        <f t="shared" si="7"/>
        <v/>
      </c>
      <c r="AA17" s="4" t="str">
        <f t="shared" si="8"/>
        <v/>
      </c>
      <c r="AB17" s="4" t="str">
        <f t="shared" si="9"/>
        <v/>
      </c>
      <c r="AC17" s="4" t="str">
        <f t="shared" si="10"/>
        <v/>
      </c>
      <c r="AD17" s="4" t="str">
        <f t="shared" si="11"/>
        <v/>
      </c>
      <c r="AE17" s="4" t="str">
        <f t="shared" si="12"/>
        <v/>
      </c>
      <c r="AF17" s="4" t="str">
        <f t="shared" si="13"/>
        <v/>
      </c>
      <c r="AG17" s="4" t="str">
        <f t="shared" si="14"/>
        <v/>
      </c>
      <c r="AH17" s="4" t="str">
        <f t="shared" si="15"/>
        <v/>
      </c>
    </row>
    <row r="18" spans="1:3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S18" s="4" t="str">
        <f t="shared" si="0"/>
        <v/>
      </c>
      <c r="T18" s="4" t="str">
        <f t="shared" si="1"/>
        <v/>
      </c>
      <c r="U18" s="4" t="str">
        <f t="shared" si="2"/>
        <v/>
      </c>
      <c r="V18" s="4" t="str">
        <f t="shared" si="3"/>
        <v/>
      </c>
      <c r="W18" s="4" t="str">
        <f t="shared" si="4"/>
        <v/>
      </c>
      <c r="X18" s="4" t="str">
        <f t="shared" si="5"/>
        <v/>
      </c>
      <c r="Y18" s="4" t="str">
        <f t="shared" si="6"/>
        <v/>
      </c>
      <c r="Z18" s="4" t="str">
        <f t="shared" si="7"/>
        <v/>
      </c>
      <c r="AA18" s="4" t="str">
        <f t="shared" si="8"/>
        <v/>
      </c>
      <c r="AB18" s="4" t="str">
        <f t="shared" si="9"/>
        <v/>
      </c>
      <c r="AC18" s="4" t="str">
        <f t="shared" si="10"/>
        <v/>
      </c>
      <c r="AD18" s="4" t="str">
        <f t="shared" si="11"/>
        <v/>
      </c>
      <c r="AE18" s="4" t="str">
        <f t="shared" si="12"/>
        <v/>
      </c>
      <c r="AF18" s="4" t="str">
        <f t="shared" si="13"/>
        <v/>
      </c>
      <c r="AG18" s="4" t="str">
        <f t="shared" si="14"/>
        <v/>
      </c>
      <c r="AH18" s="4" t="str">
        <f t="shared" si="15"/>
        <v/>
      </c>
    </row>
    <row r="19" spans="1:3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S19" s="4" t="str">
        <f t="shared" si="0"/>
        <v/>
      </c>
      <c r="T19" s="4" t="str">
        <f t="shared" si="1"/>
        <v/>
      </c>
      <c r="U19" s="4" t="str">
        <f t="shared" si="2"/>
        <v/>
      </c>
      <c r="V19" s="4" t="str">
        <f t="shared" si="3"/>
        <v/>
      </c>
      <c r="W19" s="4" t="str">
        <f t="shared" si="4"/>
        <v/>
      </c>
      <c r="X19" s="4" t="str">
        <f t="shared" si="5"/>
        <v/>
      </c>
      <c r="Y19" s="4" t="str">
        <f t="shared" si="6"/>
        <v/>
      </c>
      <c r="Z19" s="4" t="str">
        <f t="shared" si="7"/>
        <v/>
      </c>
      <c r="AA19" s="4" t="str">
        <f t="shared" si="8"/>
        <v/>
      </c>
      <c r="AB19" s="4" t="str">
        <f t="shared" si="9"/>
        <v/>
      </c>
      <c r="AC19" s="4" t="str">
        <f t="shared" si="10"/>
        <v/>
      </c>
      <c r="AD19" s="4" t="str">
        <f t="shared" si="11"/>
        <v/>
      </c>
      <c r="AE19" s="4" t="str">
        <f t="shared" si="12"/>
        <v/>
      </c>
      <c r="AF19" s="4" t="str">
        <f t="shared" si="13"/>
        <v/>
      </c>
      <c r="AG19" s="4" t="str">
        <f t="shared" si="14"/>
        <v/>
      </c>
      <c r="AH19" s="4" t="str">
        <f t="shared" si="15"/>
        <v/>
      </c>
    </row>
    <row r="20" spans="1:3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S20" s="4" t="str">
        <f t="shared" si="0"/>
        <v/>
      </c>
      <c r="T20" s="4" t="str">
        <f t="shared" si="1"/>
        <v/>
      </c>
      <c r="U20" s="4" t="str">
        <f t="shared" si="2"/>
        <v/>
      </c>
      <c r="V20" s="4" t="str">
        <f t="shared" si="3"/>
        <v/>
      </c>
      <c r="W20" s="4" t="str">
        <f t="shared" si="4"/>
        <v/>
      </c>
      <c r="X20" s="4" t="str">
        <f t="shared" si="5"/>
        <v/>
      </c>
      <c r="Y20" s="4" t="str">
        <f t="shared" si="6"/>
        <v/>
      </c>
      <c r="Z20" s="4" t="str">
        <f t="shared" si="7"/>
        <v/>
      </c>
      <c r="AA20" s="4" t="str">
        <f t="shared" si="8"/>
        <v/>
      </c>
      <c r="AB20" s="4" t="str">
        <f t="shared" si="9"/>
        <v/>
      </c>
      <c r="AC20" s="4" t="str">
        <f t="shared" si="10"/>
        <v/>
      </c>
      <c r="AD20" s="4" t="str">
        <f t="shared" si="11"/>
        <v/>
      </c>
      <c r="AE20" s="4" t="str">
        <f t="shared" si="12"/>
        <v/>
      </c>
      <c r="AF20" s="4" t="str">
        <f t="shared" si="13"/>
        <v/>
      </c>
      <c r="AG20" s="4" t="str">
        <f t="shared" si="14"/>
        <v/>
      </c>
      <c r="AH20" s="4" t="str">
        <f t="shared" si="15"/>
        <v/>
      </c>
    </row>
    <row r="21" spans="1:3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S21" s="4" t="str">
        <f t="shared" si="0"/>
        <v/>
      </c>
      <c r="T21" s="4" t="str">
        <f t="shared" si="1"/>
        <v/>
      </c>
      <c r="U21" s="4" t="str">
        <f t="shared" si="2"/>
        <v/>
      </c>
      <c r="V21" s="4" t="str">
        <f t="shared" si="3"/>
        <v/>
      </c>
      <c r="W21" s="4" t="str">
        <f t="shared" si="4"/>
        <v/>
      </c>
      <c r="X21" s="4" t="str">
        <f t="shared" si="5"/>
        <v/>
      </c>
      <c r="Y21" s="4" t="str">
        <f t="shared" si="6"/>
        <v/>
      </c>
      <c r="Z21" s="4" t="str">
        <f t="shared" si="7"/>
        <v/>
      </c>
      <c r="AA21" s="4" t="str">
        <f t="shared" si="8"/>
        <v/>
      </c>
      <c r="AB21" s="4" t="str">
        <f t="shared" si="9"/>
        <v/>
      </c>
      <c r="AC21" s="4" t="str">
        <f t="shared" si="10"/>
        <v/>
      </c>
      <c r="AD21" s="4" t="str">
        <f t="shared" si="11"/>
        <v/>
      </c>
      <c r="AE21" s="4" t="str">
        <f t="shared" si="12"/>
        <v/>
      </c>
      <c r="AF21" s="4" t="str">
        <f t="shared" si="13"/>
        <v/>
      </c>
      <c r="AG21" s="4" t="str">
        <f t="shared" si="14"/>
        <v/>
      </c>
      <c r="AH21" s="4" t="str">
        <f t="shared" si="15"/>
        <v/>
      </c>
    </row>
    <row r="22" spans="1:3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S22" s="4" t="str">
        <f t="shared" si="0"/>
        <v/>
      </c>
      <c r="T22" s="4" t="str">
        <f t="shared" si="1"/>
        <v/>
      </c>
      <c r="U22" s="4" t="str">
        <f t="shared" si="2"/>
        <v/>
      </c>
      <c r="V22" s="4" t="str">
        <f t="shared" si="3"/>
        <v/>
      </c>
      <c r="W22" s="4" t="str">
        <f t="shared" si="4"/>
        <v/>
      </c>
      <c r="X22" s="4" t="str">
        <f t="shared" si="5"/>
        <v/>
      </c>
      <c r="Y22" s="4" t="str">
        <f t="shared" si="6"/>
        <v/>
      </c>
      <c r="Z22" s="4" t="str">
        <f t="shared" si="7"/>
        <v/>
      </c>
      <c r="AA22" s="4" t="str">
        <f t="shared" si="8"/>
        <v/>
      </c>
      <c r="AB22" s="4" t="str">
        <f t="shared" si="9"/>
        <v/>
      </c>
      <c r="AC22" s="4" t="str">
        <f t="shared" si="10"/>
        <v/>
      </c>
      <c r="AD22" s="4" t="str">
        <f t="shared" si="11"/>
        <v/>
      </c>
      <c r="AE22" s="4" t="str">
        <f t="shared" si="12"/>
        <v/>
      </c>
      <c r="AF22" s="4" t="str">
        <f t="shared" si="13"/>
        <v/>
      </c>
      <c r="AG22" s="4" t="str">
        <f t="shared" si="14"/>
        <v/>
      </c>
      <c r="AH22" s="4" t="str">
        <f t="shared" si="15"/>
        <v/>
      </c>
    </row>
    <row r="23" spans="1:3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S23" s="4" t="str">
        <f t="shared" si="0"/>
        <v/>
      </c>
      <c r="T23" s="4" t="str">
        <f t="shared" si="1"/>
        <v/>
      </c>
      <c r="U23" s="4" t="str">
        <f t="shared" si="2"/>
        <v/>
      </c>
      <c r="V23" s="4" t="str">
        <f t="shared" si="3"/>
        <v/>
      </c>
      <c r="W23" s="4" t="str">
        <f t="shared" si="4"/>
        <v/>
      </c>
      <c r="X23" s="4" t="str">
        <f t="shared" si="5"/>
        <v/>
      </c>
      <c r="Y23" s="4" t="str">
        <f t="shared" si="6"/>
        <v/>
      </c>
      <c r="Z23" s="4" t="str">
        <f t="shared" si="7"/>
        <v/>
      </c>
      <c r="AA23" s="4" t="str">
        <f t="shared" si="8"/>
        <v/>
      </c>
      <c r="AB23" s="4" t="str">
        <f t="shared" si="9"/>
        <v/>
      </c>
      <c r="AC23" s="4" t="str">
        <f t="shared" si="10"/>
        <v/>
      </c>
      <c r="AD23" s="4" t="str">
        <f t="shared" si="11"/>
        <v/>
      </c>
      <c r="AE23" s="4" t="str">
        <f t="shared" si="12"/>
        <v/>
      </c>
      <c r="AF23" s="4" t="str">
        <f t="shared" si="13"/>
        <v/>
      </c>
      <c r="AG23" s="4" t="str">
        <f t="shared" si="14"/>
        <v/>
      </c>
      <c r="AH23" s="4" t="str">
        <f t="shared" si="15"/>
        <v/>
      </c>
    </row>
    <row r="24" spans="1:3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S24" s="4" t="str">
        <f t="shared" si="0"/>
        <v/>
      </c>
      <c r="T24" s="4" t="str">
        <f t="shared" si="1"/>
        <v/>
      </c>
      <c r="U24" s="4" t="str">
        <f t="shared" si="2"/>
        <v/>
      </c>
      <c r="V24" s="4" t="str">
        <f t="shared" si="3"/>
        <v/>
      </c>
      <c r="W24" s="4" t="str">
        <f t="shared" si="4"/>
        <v/>
      </c>
      <c r="X24" s="4" t="str">
        <f t="shared" si="5"/>
        <v/>
      </c>
      <c r="Y24" s="4" t="str">
        <f t="shared" si="6"/>
        <v/>
      </c>
      <c r="Z24" s="4" t="str">
        <f t="shared" si="7"/>
        <v/>
      </c>
      <c r="AA24" s="4" t="str">
        <f t="shared" si="8"/>
        <v/>
      </c>
      <c r="AB24" s="4" t="str">
        <f t="shared" si="9"/>
        <v/>
      </c>
      <c r="AC24" s="4" t="str">
        <f t="shared" si="10"/>
        <v/>
      </c>
      <c r="AD24" s="4" t="str">
        <f t="shared" si="11"/>
        <v/>
      </c>
      <c r="AE24" s="4" t="str">
        <f t="shared" si="12"/>
        <v/>
      </c>
      <c r="AF24" s="4" t="str">
        <f t="shared" si="13"/>
        <v/>
      </c>
      <c r="AG24" s="4" t="str">
        <f t="shared" si="14"/>
        <v/>
      </c>
      <c r="AH24" s="4" t="str">
        <f t="shared" si="15"/>
        <v/>
      </c>
    </row>
    <row r="25" spans="1:3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S25" s="4" t="str">
        <f t="shared" si="0"/>
        <v/>
      </c>
      <c r="T25" s="4" t="str">
        <f t="shared" si="1"/>
        <v/>
      </c>
      <c r="U25" s="4" t="str">
        <f t="shared" si="2"/>
        <v/>
      </c>
      <c r="V25" s="4" t="str">
        <f t="shared" si="3"/>
        <v/>
      </c>
      <c r="W25" s="4" t="str">
        <f t="shared" si="4"/>
        <v/>
      </c>
      <c r="X25" s="4" t="str">
        <f t="shared" si="5"/>
        <v/>
      </c>
      <c r="Y25" s="4" t="str">
        <f t="shared" si="6"/>
        <v/>
      </c>
      <c r="Z25" s="4" t="str">
        <f t="shared" si="7"/>
        <v/>
      </c>
      <c r="AA25" s="4" t="str">
        <f t="shared" si="8"/>
        <v/>
      </c>
      <c r="AB25" s="4" t="str">
        <f t="shared" si="9"/>
        <v/>
      </c>
      <c r="AC25" s="4" t="str">
        <f t="shared" si="10"/>
        <v/>
      </c>
      <c r="AD25" s="4" t="str">
        <f t="shared" si="11"/>
        <v/>
      </c>
      <c r="AE25" s="4" t="str">
        <f t="shared" si="12"/>
        <v/>
      </c>
      <c r="AF25" s="4" t="str">
        <f t="shared" si="13"/>
        <v/>
      </c>
      <c r="AG25" s="4" t="str">
        <f t="shared" si="14"/>
        <v/>
      </c>
      <c r="AH25" s="4" t="str">
        <f t="shared" si="15"/>
        <v/>
      </c>
    </row>
    <row r="26" spans="1:3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S26" s="4" t="str">
        <f t="shared" si="0"/>
        <v/>
      </c>
      <c r="T26" s="4" t="str">
        <f t="shared" si="1"/>
        <v/>
      </c>
      <c r="U26" s="4" t="str">
        <f t="shared" si="2"/>
        <v/>
      </c>
      <c r="V26" s="4" t="str">
        <f t="shared" si="3"/>
        <v/>
      </c>
      <c r="W26" s="4" t="str">
        <f t="shared" si="4"/>
        <v/>
      </c>
      <c r="X26" s="4" t="str">
        <f t="shared" si="5"/>
        <v/>
      </c>
      <c r="Y26" s="4" t="str">
        <f t="shared" si="6"/>
        <v/>
      </c>
      <c r="Z26" s="4" t="str">
        <f t="shared" si="7"/>
        <v/>
      </c>
      <c r="AA26" s="4" t="str">
        <f t="shared" si="8"/>
        <v/>
      </c>
      <c r="AB26" s="4" t="str">
        <f t="shared" si="9"/>
        <v/>
      </c>
      <c r="AC26" s="4" t="str">
        <f t="shared" si="10"/>
        <v/>
      </c>
      <c r="AD26" s="4" t="str">
        <f t="shared" si="11"/>
        <v/>
      </c>
      <c r="AE26" s="4" t="str">
        <f t="shared" si="12"/>
        <v/>
      </c>
      <c r="AF26" s="4" t="str">
        <f t="shared" si="13"/>
        <v/>
      </c>
      <c r="AG26" s="4" t="str">
        <f t="shared" si="14"/>
        <v/>
      </c>
      <c r="AH26" s="4" t="str">
        <f t="shared" si="15"/>
        <v/>
      </c>
    </row>
    <row r="27" spans="1:3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S27" s="4" t="str">
        <f t="shared" si="0"/>
        <v/>
      </c>
      <c r="T27" s="4" t="str">
        <f t="shared" si="1"/>
        <v/>
      </c>
      <c r="U27" s="4" t="str">
        <f t="shared" si="2"/>
        <v/>
      </c>
      <c r="V27" s="4" t="str">
        <f t="shared" si="3"/>
        <v/>
      </c>
      <c r="W27" s="4" t="str">
        <f t="shared" si="4"/>
        <v/>
      </c>
      <c r="X27" s="4" t="str">
        <f t="shared" si="5"/>
        <v/>
      </c>
      <c r="Y27" s="4" t="str">
        <f t="shared" si="6"/>
        <v/>
      </c>
      <c r="Z27" s="4" t="str">
        <f t="shared" si="7"/>
        <v/>
      </c>
      <c r="AA27" s="4" t="str">
        <f t="shared" si="8"/>
        <v/>
      </c>
      <c r="AB27" s="4" t="str">
        <f t="shared" si="9"/>
        <v/>
      </c>
      <c r="AC27" s="4" t="str">
        <f t="shared" si="10"/>
        <v/>
      </c>
      <c r="AD27" s="4" t="str">
        <f t="shared" si="11"/>
        <v/>
      </c>
      <c r="AE27" s="4" t="str">
        <f t="shared" si="12"/>
        <v/>
      </c>
      <c r="AF27" s="4" t="str">
        <f t="shared" si="13"/>
        <v/>
      </c>
      <c r="AG27" s="4" t="str">
        <f t="shared" si="14"/>
        <v/>
      </c>
      <c r="AH27" s="4" t="str">
        <f t="shared" si="15"/>
        <v/>
      </c>
    </row>
    <row r="28" spans="1:3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S28" s="4" t="str">
        <f t="shared" si="0"/>
        <v/>
      </c>
      <c r="T28" s="4" t="str">
        <f t="shared" si="1"/>
        <v/>
      </c>
      <c r="U28" s="4" t="str">
        <f t="shared" si="2"/>
        <v/>
      </c>
      <c r="V28" s="4" t="str">
        <f t="shared" si="3"/>
        <v/>
      </c>
      <c r="W28" s="4" t="str">
        <f t="shared" si="4"/>
        <v/>
      </c>
      <c r="X28" s="4" t="str">
        <f t="shared" si="5"/>
        <v/>
      </c>
      <c r="Y28" s="4" t="str">
        <f t="shared" si="6"/>
        <v/>
      </c>
      <c r="Z28" s="4" t="str">
        <f t="shared" si="7"/>
        <v/>
      </c>
      <c r="AA28" s="4" t="str">
        <f t="shared" si="8"/>
        <v/>
      </c>
      <c r="AB28" s="4" t="str">
        <f t="shared" si="9"/>
        <v/>
      </c>
      <c r="AC28" s="4" t="str">
        <f t="shared" si="10"/>
        <v/>
      </c>
      <c r="AD28" s="4" t="str">
        <f t="shared" si="11"/>
        <v/>
      </c>
      <c r="AE28" s="4" t="str">
        <f t="shared" si="12"/>
        <v/>
      </c>
      <c r="AF28" s="4" t="str">
        <f t="shared" si="13"/>
        <v/>
      </c>
      <c r="AG28" s="4" t="str">
        <f t="shared" si="14"/>
        <v/>
      </c>
      <c r="AH28" s="4" t="str">
        <f t="shared" si="15"/>
        <v/>
      </c>
    </row>
    <row r="29" spans="1:3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S29" s="4" t="str">
        <f t="shared" si="0"/>
        <v/>
      </c>
      <c r="T29" s="4" t="str">
        <f t="shared" si="1"/>
        <v/>
      </c>
      <c r="U29" s="4" t="str">
        <f t="shared" si="2"/>
        <v/>
      </c>
      <c r="V29" s="4" t="str">
        <f t="shared" si="3"/>
        <v/>
      </c>
      <c r="W29" s="4" t="str">
        <f t="shared" si="4"/>
        <v/>
      </c>
      <c r="X29" s="4" t="str">
        <f t="shared" si="5"/>
        <v/>
      </c>
      <c r="Y29" s="4" t="str">
        <f t="shared" si="6"/>
        <v/>
      </c>
      <c r="Z29" s="4" t="str">
        <f t="shared" si="7"/>
        <v/>
      </c>
      <c r="AA29" s="4" t="str">
        <f t="shared" si="8"/>
        <v/>
      </c>
      <c r="AB29" s="4" t="str">
        <f t="shared" si="9"/>
        <v/>
      </c>
      <c r="AC29" s="4" t="str">
        <f t="shared" si="10"/>
        <v/>
      </c>
      <c r="AD29" s="4" t="str">
        <f t="shared" si="11"/>
        <v/>
      </c>
      <c r="AE29" s="4" t="str">
        <f t="shared" si="12"/>
        <v/>
      </c>
      <c r="AF29" s="4" t="str">
        <f t="shared" si="13"/>
        <v/>
      </c>
      <c r="AG29" s="4" t="str">
        <f t="shared" si="14"/>
        <v/>
      </c>
      <c r="AH29" s="4" t="str">
        <f t="shared" si="15"/>
        <v/>
      </c>
    </row>
    <row r="30" spans="1:3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S30" s="4" t="str">
        <f t="shared" si="0"/>
        <v/>
      </c>
      <c r="T30" s="4" t="str">
        <f t="shared" si="1"/>
        <v/>
      </c>
      <c r="U30" s="4" t="str">
        <f t="shared" si="2"/>
        <v/>
      </c>
      <c r="V30" s="4" t="str">
        <f t="shared" si="3"/>
        <v/>
      </c>
      <c r="W30" s="4" t="str">
        <f t="shared" si="4"/>
        <v/>
      </c>
      <c r="X30" s="4" t="str">
        <f t="shared" si="5"/>
        <v/>
      </c>
      <c r="Y30" s="4" t="str">
        <f t="shared" si="6"/>
        <v/>
      </c>
      <c r="Z30" s="4" t="str">
        <f t="shared" si="7"/>
        <v/>
      </c>
      <c r="AA30" s="4" t="str">
        <f t="shared" si="8"/>
        <v/>
      </c>
      <c r="AB30" s="4" t="str">
        <f t="shared" si="9"/>
        <v/>
      </c>
      <c r="AC30" s="4" t="str">
        <f t="shared" si="10"/>
        <v/>
      </c>
      <c r="AD30" s="4" t="str">
        <f t="shared" si="11"/>
        <v/>
      </c>
      <c r="AE30" s="4" t="str">
        <f t="shared" si="12"/>
        <v/>
      </c>
      <c r="AF30" s="4" t="str">
        <f t="shared" si="13"/>
        <v/>
      </c>
      <c r="AG30" s="4" t="str">
        <f t="shared" si="14"/>
        <v/>
      </c>
      <c r="AH30" s="4" t="str">
        <f t="shared" si="15"/>
        <v/>
      </c>
    </row>
    <row r="31" spans="1:3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S31" s="4" t="str">
        <f t="shared" si="0"/>
        <v/>
      </c>
      <c r="T31" s="4" t="str">
        <f t="shared" si="1"/>
        <v/>
      </c>
      <c r="U31" s="4" t="str">
        <f t="shared" si="2"/>
        <v/>
      </c>
      <c r="V31" s="4" t="str">
        <f t="shared" si="3"/>
        <v/>
      </c>
      <c r="W31" s="4" t="str">
        <f t="shared" si="4"/>
        <v/>
      </c>
      <c r="X31" s="4" t="str">
        <f t="shared" si="5"/>
        <v/>
      </c>
      <c r="Y31" s="4" t="str">
        <f t="shared" si="6"/>
        <v/>
      </c>
      <c r="Z31" s="4" t="str">
        <f t="shared" si="7"/>
        <v/>
      </c>
      <c r="AA31" s="4" t="str">
        <f t="shared" si="8"/>
        <v/>
      </c>
      <c r="AB31" s="4" t="str">
        <f t="shared" si="9"/>
        <v/>
      </c>
      <c r="AC31" s="4" t="str">
        <f t="shared" si="10"/>
        <v/>
      </c>
      <c r="AD31" s="4" t="str">
        <f t="shared" si="11"/>
        <v/>
      </c>
      <c r="AE31" s="4" t="str">
        <f t="shared" si="12"/>
        <v/>
      </c>
      <c r="AF31" s="4" t="str">
        <f t="shared" si="13"/>
        <v/>
      </c>
      <c r="AG31" s="4" t="str">
        <f t="shared" si="14"/>
        <v/>
      </c>
      <c r="AH31" s="4" t="str">
        <f t="shared" si="15"/>
        <v/>
      </c>
    </row>
    <row r="32" spans="1:3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S32" s="4" t="str">
        <f t="shared" si="0"/>
        <v/>
      </c>
      <c r="T32" s="4" t="str">
        <f t="shared" si="1"/>
        <v/>
      </c>
      <c r="U32" s="4" t="str">
        <f t="shared" si="2"/>
        <v/>
      </c>
      <c r="V32" s="4" t="str">
        <f t="shared" si="3"/>
        <v/>
      </c>
      <c r="W32" s="4" t="str">
        <f t="shared" si="4"/>
        <v/>
      </c>
      <c r="X32" s="4" t="str">
        <f t="shared" si="5"/>
        <v/>
      </c>
      <c r="Y32" s="4" t="str">
        <f t="shared" si="6"/>
        <v/>
      </c>
      <c r="Z32" s="4" t="str">
        <f t="shared" si="7"/>
        <v/>
      </c>
      <c r="AA32" s="4" t="str">
        <f t="shared" si="8"/>
        <v/>
      </c>
      <c r="AB32" s="4" t="str">
        <f t="shared" si="9"/>
        <v/>
      </c>
      <c r="AC32" s="4" t="str">
        <f t="shared" si="10"/>
        <v/>
      </c>
      <c r="AD32" s="4" t="str">
        <f t="shared" si="11"/>
        <v/>
      </c>
      <c r="AE32" s="4" t="str">
        <f t="shared" si="12"/>
        <v/>
      </c>
      <c r="AF32" s="4" t="str">
        <f t="shared" si="13"/>
        <v/>
      </c>
      <c r="AG32" s="4" t="str">
        <f t="shared" si="14"/>
        <v/>
      </c>
      <c r="AH32" s="4" t="str">
        <f t="shared" si="15"/>
        <v/>
      </c>
    </row>
    <row r="33" spans="1:3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S33" s="4" t="str">
        <f t="shared" si="0"/>
        <v/>
      </c>
      <c r="T33" s="4" t="str">
        <f t="shared" si="1"/>
        <v/>
      </c>
      <c r="U33" s="4" t="str">
        <f t="shared" si="2"/>
        <v/>
      </c>
      <c r="V33" s="4" t="str">
        <f t="shared" si="3"/>
        <v/>
      </c>
      <c r="W33" s="4" t="str">
        <f t="shared" si="4"/>
        <v/>
      </c>
      <c r="X33" s="4" t="str">
        <f t="shared" si="5"/>
        <v/>
      </c>
      <c r="Y33" s="4" t="str">
        <f t="shared" si="6"/>
        <v/>
      </c>
      <c r="Z33" s="4" t="str">
        <f t="shared" si="7"/>
        <v/>
      </c>
      <c r="AA33" s="4" t="str">
        <f t="shared" si="8"/>
        <v/>
      </c>
      <c r="AB33" s="4" t="str">
        <f t="shared" si="9"/>
        <v/>
      </c>
      <c r="AC33" s="4" t="str">
        <f t="shared" si="10"/>
        <v/>
      </c>
      <c r="AD33" s="4" t="str">
        <f t="shared" si="11"/>
        <v/>
      </c>
      <c r="AE33" s="4" t="str">
        <f t="shared" si="12"/>
        <v/>
      </c>
      <c r="AF33" s="4" t="str">
        <f t="shared" si="13"/>
        <v/>
      </c>
      <c r="AG33" s="4" t="str">
        <f t="shared" si="14"/>
        <v/>
      </c>
      <c r="AH33" s="4" t="str">
        <f t="shared" si="15"/>
        <v/>
      </c>
    </row>
    <row r="34" spans="1:3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S34" s="4" t="str">
        <f t="shared" si="0"/>
        <v/>
      </c>
      <c r="T34" s="4" t="str">
        <f t="shared" si="1"/>
        <v/>
      </c>
      <c r="U34" s="4" t="str">
        <f t="shared" si="2"/>
        <v/>
      </c>
      <c r="V34" s="4" t="str">
        <f t="shared" si="3"/>
        <v/>
      </c>
      <c r="W34" s="4" t="str">
        <f t="shared" si="4"/>
        <v/>
      </c>
      <c r="X34" s="4" t="str">
        <f t="shared" si="5"/>
        <v/>
      </c>
      <c r="Y34" s="4" t="str">
        <f t="shared" si="6"/>
        <v/>
      </c>
      <c r="Z34" s="4" t="str">
        <f t="shared" si="7"/>
        <v/>
      </c>
      <c r="AA34" s="4" t="str">
        <f t="shared" si="8"/>
        <v/>
      </c>
      <c r="AB34" s="4" t="str">
        <f t="shared" si="9"/>
        <v/>
      </c>
      <c r="AC34" s="4" t="str">
        <f t="shared" si="10"/>
        <v/>
      </c>
      <c r="AD34" s="4" t="str">
        <f t="shared" si="11"/>
        <v/>
      </c>
      <c r="AE34" s="4" t="str">
        <f t="shared" si="12"/>
        <v/>
      </c>
      <c r="AF34" s="4" t="str">
        <f t="shared" si="13"/>
        <v/>
      </c>
      <c r="AG34" s="4" t="str">
        <f t="shared" si="14"/>
        <v/>
      </c>
      <c r="AH34" s="4" t="str">
        <f t="shared" si="15"/>
        <v/>
      </c>
    </row>
    <row r="35" spans="1:3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S35" s="4" t="str">
        <f t="shared" si="0"/>
        <v/>
      </c>
      <c r="T35" s="4" t="str">
        <f t="shared" si="1"/>
        <v/>
      </c>
      <c r="U35" s="4" t="str">
        <f t="shared" si="2"/>
        <v/>
      </c>
      <c r="V35" s="4" t="str">
        <f t="shared" si="3"/>
        <v/>
      </c>
      <c r="W35" s="4" t="str">
        <f t="shared" si="4"/>
        <v/>
      </c>
      <c r="X35" s="4" t="str">
        <f t="shared" si="5"/>
        <v/>
      </c>
      <c r="Y35" s="4" t="str">
        <f t="shared" si="6"/>
        <v/>
      </c>
      <c r="Z35" s="4" t="str">
        <f t="shared" si="7"/>
        <v/>
      </c>
      <c r="AA35" s="4" t="str">
        <f t="shared" si="8"/>
        <v/>
      </c>
      <c r="AB35" s="4" t="str">
        <f t="shared" si="9"/>
        <v/>
      </c>
      <c r="AC35" s="4" t="str">
        <f t="shared" si="10"/>
        <v/>
      </c>
      <c r="AD35" s="4" t="str">
        <f t="shared" si="11"/>
        <v/>
      </c>
      <c r="AE35" s="4" t="str">
        <f t="shared" si="12"/>
        <v/>
      </c>
      <c r="AF35" s="4" t="str">
        <f t="shared" si="13"/>
        <v/>
      </c>
      <c r="AG35" s="4" t="str">
        <f t="shared" si="14"/>
        <v/>
      </c>
      <c r="AH35" s="4" t="str">
        <f t="shared" si="15"/>
        <v/>
      </c>
    </row>
    <row r="36" spans="1:3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S36" s="4" t="str">
        <f t="shared" si="0"/>
        <v/>
      </c>
      <c r="T36" s="4" t="str">
        <f t="shared" si="1"/>
        <v/>
      </c>
      <c r="U36" s="4" t="str">
        <f t="shared" si="2"/>
        <v/>
      </c>
      <c r="V36" s="4" t="str">
        <f t="shared" si="3"/>
        <v/>
      </c>
      <c r="W36" s="4" t="str">
        <f t="shared" si="4"/>
        <v/>
      </c>
      <c r="X36" s="4" t="str">
        <f t="shared" si="5"/>
        <v/>
      </c>
      <c r="Y36" s="4" t="str">
        <f t="shared" si="6"/>
        <v/>
      </c>
      <c r="Z36" s="4" t="str">
        <f t="shared" si="7"/>
        <v/>
      </c>
      <c r="AA36" s="4" t="str">
        <f t="shared" si="8"/>
        <v/>
      </c>
      <c r="AB36" s="4" t="str">
        <f t="shared" si="9"/>
        <v/>
      </c>
      <c r="AC36" s="4" t="str">
        <f t="shared" si="10"/>
        <v/>
      </c>
      <c r="AD36" s="4" t="str">
        <f t="shared" si="11"/>
        <v/>
      </c>
      <c r="AE36" s="4" t="str">
        <f t="shared" si="12"/>
        <v/>
      </c>
      <c r="AF36" s="4" t="str">
        <f t="shared" si="13"/>
        <v/>
      </c>
      <c r="AG36" s="4" t="str">
        <f t="shared" si="14"/>
        <v/>
      </c>
      <c r="AH36" s="4" t="str">
        <f t="shared" si="15"/>
        <v/>
      </c>
    </row>
    <row r="37" spans="1:3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S37" s="4" t="str">
        <f t="shared" si="0"/>
        <v/>
      </c>
      <c r="T37" s="4" t="str">
        <f t="shared" si="1"/>
        <v/>
      </c>
      <c r="U37" s="4" t="str">
        <f t="shared" si="2"/>
        <v/>
      </c>
      <c r="V37" s="4" t="str">
        <f t="shared" si="3"/>
        <v/>
      </c>
      <c r="W37" s="4" t="str">
        <f t="shared" si="4"/>
        <v/>
      </c>
      <c r="X37" s="4" t="str">
        <f t="shared" si="5"/>
        <v/>
      </c>
      <c r="Y37" s="4" t="str">
        <f t="shared" si="6"/>
        <v/>
      </c>
      <c r="Z37" s="4" t="str">
        <f t="shared" si="7"/>
        <v/>
      </c>
      <c r="AA37" s="4" t="str">
        <f t="shared" si="8"/>
        <v/>
      </c>
      <c r="AB37" s="4" t="str">
        <f t="shared" si="9"/>
        <v/>
      </c>
      <c r="AC37" s="4" t="str">
        <f t="shared" si="10"/>
        <v/>
      </c>
      <c r="AD37" s="4" t="str">
        <f t="shared" si="11"/>
        <v/>
      </c>
      <c r="AE37" s="4" t="str">
        <f t="shared" si="12"/>
        <v/>
      </c>
      <c r="AF37" s="4" t="str">
        <f t="shared" si="13"/>
        <v/>
      </c>
      <c r="AG37" s="4" t="str">
        <f t="shared" si="14"/>
        <v/>
      </c>
      <c r="AH37" s="4" t="str">
        <f t="shared" si="15"/>
        <v/>
      </c>
    </row>
    <row r="38" spans="1:3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S38" s="4" t="str">
        <f t="shared" ref="S38:S55" si="16">IF(B38="","",B38)</f>
        <v/>
      </c>
      <c r="T38" s="4" t="str">
        <f t="shared" ref="T38:T55" si="17">IF(C38="","",C38)</f>
        <v/>
      </c>
      <c r="U38" s="4" t="str">
        <f t="shared" ref="U38:U55" si="18">IF(D38="","",D38)</f>
        <v/>
      </c>
      <c r="V38" s="4" t="str">
        <f t="shared" ref="V38:V55" si="19">IF(E38="","",E38)</f>
        <v/>
      </c>
      <c r="W38" s="4" t="str">
        <f t="shared" ref="W38:W55" si="20">IF(F38="","",IF(F38="Continuada",1,0))</f>
        <v/>
      </c>
      <c r="X38" s="4" t="str">
        <f t="shared" ref="X38:X55" si="21">IF(G38="","",IF(G38="1r",1,0))</f>
        <v/>
      </c>
      <c r="Y38" s="4" t="str">
        <f t="shared" ref="Y38:Y55" si="22">IF(H38="","",IF(H38="Home",1,0))</f>
        <v/>
      </c>
      <c r="Z38" s="4" t="str">
        <f t="shared" ref="Z38:Z55" si="23">IF(I38="","",IF(OR(I38="Estadística",I38="Doble Eco+Est",I38="Doble ADE+Soc",I38="Doble ADE+Mat",I38="Doble ADE+Dret",I38="Doble ADE+Qui"),1,0))</f>
        <v/>
      </c>
      <c r="AA38" s="4" t="str">
        <f t="shared" ref="AA38:AA55" si="24">IF(J38="","",IF(OR(J38="T.Parcial",J38="T.Complet"),1,0))</f>
        <v/>
      </c>
      <c r="AB38" s="4" t="str">
        <f t="shared" ref="AB38:AB55" si="25">IF(K38="","",K38)</f>
        <v/>
      </c>
      <c r="AC38" s="4" t="str">
        <f t="shared" ref="AC38:AC55" si="26">IF(L38="","",L38)</f>
        <v/>
      </c>
      <c r="AD38" s="4" t="str">
        <f t="shared" ref="AD38:AD55" si="27">IF(M38="","",M38)</f>
        <v/>
      </c>
      <c r="AE38" s="4" t="str">
        <f t="shared" ref="AE38:AE55" si="28">IF(N38="","",N38)</f>
        <v/>
      </c>
      <c r="AF38" s="4" t="str">
        <f t="shared" ref="AF38:AF55" si="29">IF(O38="","",O38)</f>
        <v/>
      </c>
      <c r="AG38" s="4" t="str">
        <f t="shared" ref="AG38:AG55" si="30">IF(P38="","",P38)</f>
        <v/>
      </c>
      <c r="AH38" s="4" t="str">
        <f t="shared" ref="AH38:AH55" si="31">IF(Q38="","",Q38)</f>
        <v/>
      </c>
    </row>
    <row r="39" spans="1:3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S39" s="4" t="str">
        <f t="shared" si="16"/>
        <v/>
      </c>
      <c r="T39" s="4" t="str">
        <f t="shared" si="17"/>
        <v/>
      </c>
      <c r="U39" s="4" t="str">
        <f t="shared" si="18"/>
        <v/>
      </c>
      <c r="V39" s="4" t="str">
        <f t="shared" si="19"/>
        <v/>
      </c>
      <c r="W39" s="4" t="str">
        <f t="shared" si="20"/>
        <v/>
      </c>
      <c r="X39" s="4" t="str">
        <f t="shared" si="21"/>
        <v/>
      </c>
      <c r="Y39" s="4" t="str">
        <f t="shared" si="22"/>
        <v/>
      </c>
      <c r="Z39" s="4" t="str">
        <f t="shared" si="23"/>
        <v/>
      </c>
      <c r="AA39" s="4" t="str">
        <f t="shared" si="24"/>
        <v/>
      </c>
      <c r="AB39" s="4" t="str">
        <f t="shared" si="25"/>
        <v/>
      </c>
      <c r="AC39" s="4" t="str">
        <f t="shared" si="26"/>
        <v/>
      </c>
      <c r="AD39" s="4" t="str">
        <f t="shared" si="27"/>
        <v/>
      </c>
      <c r="AE39" s="4" t="str">
        <f t="shared" si="28"/>
        <v/>
      </c>
      <c r="AF39" s="4" t="str">
        <f t="shared" si="29"/>
        <v/>
      </c>
      <c r="AG39" s="4" t="str">
        <f t="shared" si="30"/>
        <v/>
      </c>
      <c r="AH39" s="4" t="str">
        <f t="shared" si="31"/>
        <v/>
      </c>
    </row>
    <row r="40" spans="1:3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S40" s="4" t="str">
        <f t="shared" si="16"/>
        <v/>
      </c>
      <c r="T40" s="4" t="str">
        <f t="shared" si="17"/>
        <v/>
      </c>
      <c r="U40" s="4" t="str">
        <f t="shared" si="18"/>
        <v/>
      </c>
      <c r="V40" s="4" t="str">
        <f t="shared" si="19"/>
        <v/>
      </c>
      <c r="W40" s="4" t="str">
        <f t="shared" si="20"/>
        <v/>
      </c>
      <c r="X40" s="4" t="str">
        <f t="shared" si="21"/>
        <v/>
      </c>
      <c r="Y40" s="4" t="str">
        <f t="shared" si="22"/>
        <v/>
      </c>
      <c r="Z40" s="4" t="str">
        <f t="shared" si="23"/>
        <v/>
      </c>
      <c r="AA40" s="4" t="str">
        <f t="shared" si="24"/>
        <v/>
      </c>
      <c r="AB40" s="4" t="str">
        <f t="shared" si="25"/>
        <v/>
      </c>
      <c r="AC40" s="4" t="str">
        <f t="shared" si="26"/>
        <v/>
      </c>
      <c r="AD40" s="4" t="str">
        <f t="shared" si="27"/>
        <v/>
      </c>
      <c r="AE40" s="4" t="str">
        <f t="shared" si="28"/>
        <v/>
      </c>
      <c r="AF40" s="4" t="str">
        <f t="shared" si="29"/>
        <v/>
      </c>
      <c r="AG40" s="4" t="str">
        <f t="shared" si="30"/>
        <v/>
      </c>
      <c r="AH40" s="4" t="str">
        <f t="shared" si="31"/>
        <v/>
      </c>
    </row>
    <row r="41" spans="1:3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S41" s="4" t="str">
        <f t="shared" si="16"/>
        <v/>
      </c>
      <c r="T41" s="4" t="str">
        <f t="shared" si="17"/>
        <v/>
      </c>
      <c r="U41" s="4" t="str">
        <f t="shared" si="18"/>
        <v/>
      </c>
      <c r="V41" s="4" t="str">
        <f t="shared" si="19"/>
        <v/>
      </c>
      <c r="W41" s="4" t="str">
        <f t="shared" si="20"/>
        <v/>
      </c>
      <c r="X41" s="4" t="str">
        <f t="shared" si="21"/>
        <v/>
      </c>
      <c r="Y41" s="4" t="str">
        <f t="shared" si="22"/>
        <v/>
      </c>
      <c r="Z41" s="4" t="str">
        <f t="shared" si="23"/>
        <v/>
      </c>
      <c r="AA41" s="4" t="str">
        <f t="shared" si="24"/>
        <v/>
      </c>
      <c r="AB41" s="4" t="str">
        <f t="shared" si="25"/>
        <v/>
      </c>
      <c r="AC41" s="4" t="str">
        <f t="shared" si="26"/>
        <v/>
      </c>
      <c r="AD41" s="4" t="str">
        <f t="shared" si="27"/>
        <v/>
      </c>
      <c r="AE41" s="4" t="str">
        <f t="shared" si="28"/>
        <v/>
      </c>
      <c r="AF41" s="4" t="str">
        <f t="shared" si="29"/>
        <v/>
      </c>
      <c r="AG41" s="4" t="str">
        <f t="shared" si="30"/>
        <v/>
      </c>
      <c r="AH41" s="4" t="str">
        <f t="shared" si="31"/>
        <v/>
      </c>
    </row>
    <row r="42" spans="1:3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S42" s="4" t="str">
        <f t="shared" si="16"/>
        <v/>
      </c>
      <c r="T42" s="4" t="str">
        <f t="shared" si="17"/>
        <v/>
      </c>
      <c r="U42" s="4" t="str">
        <f t="shared" si="18"/>
        <v/>
      </c>
      <c r="V42" s="4" t="str">
        <f t="shared" si="19"/>
        <v/>
      </c>
      <c r="W42" s="4" t="str">
        <f t="shared" si="20"/>
        <v/>
      </c>
      <c r="X42" s="4" t="str">
        <f t="shared" si="21"/>
        <v/>
      </c>
      <c r="Y42" s="4" t="str">
        <f t="shared" si="22"/>
        <v/>
      </c>
      <c r="Z42" s="4" t="str">
        <f t="shared" si="23"/>
        <v/>
      </c>
      <c r="AA42" s="4" t="str">
        <f t="shared" si="24"/>
        <v/>
      </c>
      <c r="AB42" s="4" t="str">
        <f t="shared" si="25"/>
        <v/>
      </c>
      <c r="AC42" s="4" t="str">
        <f t="shared" si="26"/>
        <v/>
      </c>
      <c r="AD42" s="4" t="str">
        <f t="shared" si="27"/>
        <v/>
      </c>
      <c r="AE42" s="4" t="str">
        <f t="shared" si="28"/>
        <v/>
      </c>
      <c r="AF42" s="4" t="str">
        <f t="shared" si="29"/>
        <v/>
      </c>
      <c r="AG42" s="4" t="str">
        <f t="shared" si="30"/>
        <v/>
      </c>
      <c r="AH42" s="4" t="str">
        <f t="shared" si="31"/>
        <v/>
      </c>
    </row>
    <row r="43" spans="1:3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S43" s="4" t="str">
        <f t="shared" si="16"/>
        <v/>
      </c>
      <c r="T43" s="4" t="str">
        <f t="shared" si="17"/>
        <v/>
      </c>
      <c r="U43" s="4" t="str">
        <f t="shared" si="18"/>
        <v/>
      </c>
      <c r="V43" s="4" t="str">
        <f t="shared" si="19"/>
        <v/>
      </c>
      <c r="W43" s="4" t="str">
        <f t="shared" si="20"/>
        <v/>
      </c>
      <c r="X43" s="4" t="str">
        <f t="shared" si="21"/>
        <v/>
      </c>
      <c r="Y43" s="4" t="str">
        <f t="shared" si="22"/>
        <v/>
      </c>
      <c r="Z43" s="4" t="str">
        <f t="shared" si="23"/>
        <v/>
      </c>
      <c r="AA43" s="4" t="str">
        <f t="shared" si="24"/>
        <v/>
      </c>
      <c r="AB43" s="4" t="str">
        <f t="shared" si="25"/>
        <v/>
      </c>
      <c r="AC43" s="4" t="str">
        <f t="shared" si="26"/>
        <v/>
      </c>
      <c r="AD43" s="4" t="str">
        <f t="shared" si="27"/>
        <v/>
      </c>
      <c r="AE43" s="4" t="str">
        <f t="shared" si="28"/>
        <v/>
      </c>
      <c r="AF43" s="4" t="str">
        <f t="shared" si="29"/>
        <v/>
      </c>
      <c r="AG43" s="4" t="str">
        <f t="shared" si="30"/>
        <v/>
      </c>
      <c r="AH43" s="4" t="str">
        <f t="shared" si="31"/>
        <v/>
      </c>
    </row>
    <row r="44" spans="1:3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S44" s="4" t="str">
        <f t="shared" si="16"/>
        <v/>
      </c>
      <c r="T44" s="4" t="str">
        <f t="shared" si="17"/>
        <v/>
      </c>
      <c r="U44" s="4" t="str">
        <f t="shared" si="18"/>
        <v/>
      </c>
      <c r="V44" s="4" t="str">
        <f t="shared" si="19"/>
        <v/>
      </c>
      <c r="W44" s="4" t="str">
        <f t="shared" si="20"/>
        <v/>
      </c>
      <c r="X44" s="4" t="str">
        <f t="shared" si="21"/>
        <v/>
      </c>
      <c r="Y44" s="4" t="str">
        <f t="shared" si="22"/>
        <v/>
      </c>
      <c r="Z44" s="4" t="str">
        <f t="shared" si="23"/>
        <v/>
      </c>
      <c r="AA44" s="4" t="str">
        <f t="shared" si="24"/>
        <v/>
      </c>
      <c r="AB44" s="4" t="str">
        <f t="shared" si="25"/>
        <v/>
      </c>
      <c r="AC44" s="4" t="str">
        <f t="shared" si="26"/>
        <v/>
      </c>
      <c r="AD44" s="4" t="str">
        <f t="shared" si="27"/>
        <v/>
      </c>
      <c r="AE44" s="4" t="str">
        <f t="shared" si="28"/>
        <v/>
      </c>
      <c r="AF44" s="4" t="str">
        <f t="shared" si="29"/>
        <v/>
      </c>
      <c r="AG44" s="4" t="str">
        <f t="shared" si="30"/>
        <v/>
      </c>
      <c r="AH44" s="4" t="str">
        <f t="shared" si="31"/>
        <v/>
      </c>
    </row>
    <row r="45" spans="1:3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S45" s="4" t="str">
        <f t="shared" si="16"/>
        <v/>
      </c>
      <c r="T45" s="4" t="str">
        <f t="shared" si="17"/>
        <v/>
      </c>
      <c r="U45" s="4" t="str">
        <f t="shared" si="18"/>
        <v/>
      </c>
      <c r="V45" s="4" t="str">
        <f t="shared" si="19"/>
        <v/>
      </c>
      <c r="W45" s="4" t="str">
        <f t="shared" si="20"/>
        <v/>
      </c>
      <c r="X45" s="4" t="str">
        <f t="shared" si="21"/>
        <v/>
      </c>
      <c r="Y45" s="4" t="str">
        <f t="shared" si="22"/>
        <v/>
      </c>
      <c r="Z45" s="4" t="str">
        <f t="shared" si="23"/>
        <v/>
      </c>
      <c r="AA45" s="4" t="str">
        <f t="shared" si="24"/>
        <v/>
      </c>
      <c r="AB45" s="4" t="str">
        <f t="shared" si="25"/>
        <v/>
      </c>
      <c r="AC45" s="4" t="str">
        <f t="shared" si="26"/>
        <v/>
      </c>
      <c r="AD45" s="4" t="str">
        <f t="shared" si="27"/>
        <v/>
      </c>
      <c r="AE45" s="4" t="str">
        <f t="shared" si="28"/>
        <v/>
      </c>
      <c r="AF45" s="4" t="str">
        <f t="shared" si="29"/>
        <v/>
      </c>
      <c r="AG45" s="4" t="str">
        <f t="shared" si="30"/>
        <v/>
      </c>
      <c r="AH45" s="4" t="str">
        <f t="shared" si="31"/>
        <v/>
      </c>
    </row>
    <row r="46" spans="1:3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S46" s="4" t="str">
        <f t="shared" si="16"/>
        <v/>
      </c>
      <c r="T46" s="4" t="str">
        <f t="shared" si="17"/>
        <v/>
      </c>
      <c r="U46" s="4" t="str">
        <f t="shared" si="18"/>
        <v/>
      </c>
      <c r="V46" s="4" t="str">
        <f t="shared" si="19"/>
        <v/>
      </c>
      <c r="W46" s="4" t="str">
        <f t="shared" si="20"/>
        <v/>
      </c>
      <c r="X46" s="4" t="str">
        <f t="shared" si="21"/>
        <v/>
      </c>
      <c r="Y46" s="4" t="str">
        <f t="shared" si="22"/>
        <v/>
      </c>
      <c r="Z46" s="4" t="str">
        <f t="shared" si="23"/>
        <v/>
      </c>
      <c r="AA46" s="4" t="str">
        <f t="shared" si="24"/>
        <v/>
      </c>
      <c r="AB46" s="4" t="str">
        <f t="shared" si="25"/>
        <v/>
      </c>
      <c r="AC46" s="4" t="str">
        <f t="shared" si="26"/>
        <v/>
      </c>
      <c r="AD46" s="4" t="str">
        <f t="shared" si="27"/>
        <v/>
      </c>
      <c r="AE46" s="4" t="str">
        <f t="shared" si="28"/>
        <v/>
      </c>
      <c r="AF46" s="4" t="str">
        <f t="shared" si="29"/>
        <v/>
      </c>
      <c r="AG46" s="4" t="str">
        <f t="shared" si="30"/>
        <v/>
      </c>
      <c r="AH46" s="4" t="str">
        <f t="shared" si="31"/>
        <v/>
      </c>
    </row>
    <row r="47" spans="1:3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S47" s="4" t="str">
        <f t="shared" si="16"/>
        <v/>
      </c>
      <c r="T47" s="4" t="str">
        <f t="shared" si="17"/>
        <v/>
      </c>
      <c r="U47" s="4" t="str">
        <f t="shared" si="18"/>
        <v/>
      </c>
      <c r="V47" s="4" t="str">
        <f t="shared" si="19"/>
        <v/>
      </c>
      <c r="W47" s="4" t="str">
        <f t="shared" si="20"/>
        <v/>
      </c>
      <c r="X47" s="4" t="str">
        <f t="shared" si="21"/>
        <v/>
      </c>
      <c r="Y47" s="4" t="str">
        <f t="shared" si="22"/>
        <v/>
      </c>
      <c r="Z47" s="4" t="str">
        <f t="shared" si="23"/>
        <v/>
      </c>
      <c r="AA47" s="4" t="str">
        <f t="shared" si="24"/>
        <v/>
      </c>
      <c r="AB47" s="4" t="str">
        <f t="shared" si="25"/>
        <v/>
      </c>
      <c r="AC47" s="4" t="str">
        <f t="shared" si="26"/>
        <v/>
      </c>
      <c r="AD47" s="4" t="str">
        <f t="shared" si="27"/>
        <v/>
      </c>
      <c r="AE47" s="4" t="str">
        <f t="shared" si="28"/>
        <v/>
      </c>
      <c r="AF47" s="4" t="str">
        <f t="shared" si="29"/>
        <v/>
      </c>
      <c r="AG47" s="4" t="str">
        <f t="shared" si="30"/>
        <v/>
      </c>
      <c r="AH47" s="4" t="str">
        <f t="shared" si="31"/>
        <v/>
      </c>
    </row>
    <row r="48" spans="1:3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S48" s="4" t="str">
        <f t="shared" si="16"/>
        <v/>
      </c>
      <c r="T48" s="4" t="str">
        <f t="shared" si="17"/>
        <v/>
      </c>
      <c r="U48" s="4" t="str">
        <f t="shared" si="18"/>
        <v/>
      </c>
      <c r="V48" s="4" t="str">
        <f t="shared" si="19"/>
        <v/>
      </c>
      <c r="W48" s="4" t="str">
        <f t="shared" si="20"/>
        <v/>
      </c>
      <c r="X48" s="4" t="str">
        <f t="shared" si="21"/>
        <v/>
      </c>
      <c r="Y48" s="4" t="str">
        <f t="shared" si="22"/>
        <v/>
      </c>
      <c r="Z48" s="4" t="str">
        <f t="shared" si="23"/>
        <v/>
      </c>
      <c r="AA48" s="4" t="str">
        <f t="shared" si="24"/>
        <v/>
      </c>
      <c r="AB48" s="4" t="str">
        <f t="shared" si="25"/>
        <v/>
      </c>
      <c r="AC48" s="4" t="str">
        <f t="shared" si="26"/>
        <v/>
      </c>
      <c r="AD48" s="4" t="str">
        <f t="shared" si="27"/>
        <v/>
      </c>
      <c r="AE48" s="4" t="str">
        <f t="shared" si="28"/>
        <v/>
      </c>
      <c r="AF48" s="4" t="str">
        <f t="shared" si="29"/>
        <v/>
      </c>
      <c r="AG48" s="4" t="str">
        <f t="shared" si="30"/>
        <v/>
      </c>
      <c r="AH48" s="4" t="str">
        <f t="shared" si="31"/>
        <v/>
      </c>
    </row>
    <row r="49" spans="1:3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S49" s="4" t="str">
        <f t="shared" si="16"/>
        <v/>
      </c>
      <c r="T49" s="4" t="str">
        <f t="shared" si="17"/>
        <v/>
      </c>
      <c r="U49" s="4" t="str">
        <f t="shared" si="18"/>
        <v/>
      </c>
      <c r="V49" s="4" t="str">
        <f t="shared" si="19"/>
        <v/>
      </c>
      <c r="W49" s="4" t="str">
        <f t="shared" si="20"/>
        <v/>
      </c>
      <c r="X49" s="4" t="str">
        <f t="shared" si="21"/>
        <v/>
      </c>
      <c r="Y49" s="4" t="str">
        <f t="shared" si="22"/>
        <v/>
      </c>
      <c r="Z49" s="4" t="str">
        <f t="shared" si="23"/>
        <v/>
      </c>
      <c r="AA49" s="4" t="str">
        <f t="shared" si="24"/>
        <v/>
      </c>
      <c r="AB49" s="4" t="str">
        <f t="shared" si="25"/>
        <v/>
      </c>
      <c r="AC49" s="4" t="str">
        <f t="shared" si="26"/>
        <v/>
      </c>
      <c r="AD49" s="4" t="str">
        <f t="shared" si="27"/>
        <v/>
      </c>
      <c r="AE49" s="4" t="str">
        <f t="shared" si="28"/>
        <v/>
      </c>
      <c r="AF49" s="4" t="str">
        <f t="shared" si="29"/>
        <v/>
      </c>
      <c r="AG49" s="4" t="str">
        <f t="shared" si="30"/>
        <v/>
      </c>
      <c r="AH49" s="4" t="str">
        <f t="shared" si="31"/>
        <v/>
      </c>
    </row>
    <row r="50" spans="1:3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S50" s="4" t="str">
        <f t="shared" si="16"/>
        <v/>
      </c>
      <c r="T50" s="4" t="str">
        <f t="shared" si="17"/>
        <v/>
      </c>
      <c r="U50" s="4" t="str">
        <f t="shared" si="18"/>
        <v/>
      </c>
      <c r="V50" s="4" t="str">
        <f t="shared" si="19"/>
        <v/>
      </c>
      <c r="W50" s="4" t="str">
        <f t="shared" si="20"/>
        <v/>
      </c>
      <c r="X50" s="4" t="str">
        <f t="shared" si="21"/>
        <v/>
      </c>
      <c r="Y50" s="4" t="str">
        <f t="shared" si="22"/>
        <v/>
      </c>
      <c r="Z50" s="4" t="str">
        <f t="shared" si="23"/>
        <v/>
      </c>
      <c r="AA50" s="4" t="str">
        <f t="shared" si="24"/>
        <v/>
      </c>
      <c r="AB50" s="4" t="str">
        <f t="shared" si="25"/>
        <v/>
      </c>
      <c r="AC50" s="4" t="str">
        <f t="shared" si="26"/>
        <v/>
      </c>
      <c r="AD50" s="4" t="str">
        <f t="shared" si="27"/>
        <v/>
      </c>
      <c r="AE50" s="4" t="str">
        <f t="shared" si="28"/>
        <v/>
      </c>
      <c r="AF50" s="4" t="str">
        <f t="shared" si="29"/>
        <v/>
      </c>
      <c r="AG50" s="4" t="str">
        <f t="shared" si="30"/>
        <v/>
      </c>
      <c r="AH50" s="4" t="str">
        <f t="shared" si="31"/>
        <v/>
      </c>
    </row>
    <row r="51" spans="1:3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S51" s="4" t="str">
        <f t="shared" si="16"/>
        <v/>
      </c>
      <c r="T51" s="4" t="str">
        <f t="shared" si="17"/>
        <v/>
      </c>
      <c r="U51" s="4" t="str">
        <f t="shared" si="18"/>
        <v/>
      </c>
      <c r="V51" s="4" t="str">
        <f t="shared" si="19"/>
        <v/>
      </c>
      <c r="W51" s="4" t="str">
        <f t="shared" si="20"/>
        <v/>
      </c>
      <c r="X51" s="4" t="str">
        <f t="shared" si="21"/>
        <v/>
      </c>
      <c r="Y51" s="4" t="str">
        <f t="shared" si="22"/>
        <v/>
      </c>
      <c r="Z51" s="4" t="str">
        <f t="shared" si="23"/>
        <v/>
      </c>
      <c r="AA51" s="4" t="str">
        <f t="shared" si="24"/>
        <v/>
      </c>
      <c r="AB51" s="4" t="str">
        <f t="shared" si="25"/>
        <v/>
      </c>
      <c r="AC51" s="4" t="str">
        <f t="shared" si="26"/>
        <v/>
      </c>
      <c r="AD51" s="4" t="str">
        <f t="shared" si="27"/>
        <v/>
      </c>
      <c r="AE51" s="4" t="str">
        <f t="shared" si="28"/>
        <v/>
      </c>
      <c r="AF51" s="4" t="str">
        <f t="shared" si="29"/>
        <v/>
      </c>
      <c r="AG51" s="4" t="str">
        <f t="shared" si="30"/>
        <v/>
      </c>
      <c r="AH51" s="4" t="str">
        <f t="shared" si="31"/>
        <v/>
      </c>
    </row>
    <row r="52" spans="1:3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S52" s="4" t="str">
        <f t="shared" si="16"/>
        <v/>
      </c>
      <c r="T52" s="4" t="str">
        <f t="shared" si="17"/>
        <v/>
      </c>
      <c r="U52" s="4" t="str">
        <f t="shared" si="18"/>
        <v/>
      </c>
      <c r="V52" s="4" t="str">
        <f t="shared" si="19"/>
        <v/>
      </c>
      <c r="W52" s="4" t="str">
        <f t="shared" si="20"/>
        <v/>
      </c>
      <c r="X52" s="4" t="str">
        <f t="shared" si="21"/>
        <v/>
      </c>
      <c r="Y52" s="4" t="str">
        <f t="shared" si="22"/>
        <v/>
      </c>
      <c r="Z52" s="4" t="str">
        <f t="shared" si="23"/>
        <v/>
      </c>
      <c r="AA52" s="4" t="str">
        <f t="shared" si="24"/>
        <v/>
      </c>
      <c r="AB52" s="4" t="str">
        <f t="shared" si="25"/>
        <v/>
      </c>
      <c r="AC52" s="4" t="str">
        <f t="shared" si="26"/>
        <v/>
      </c>
      <c r="AD52" s="4" t="str">
        <f t="shared" si="27"/>
        <v/>
      </c>
      <c r="AE52" s="4" t="str">
        <f t="shared" si="28"/>
        <v/>
      </c>
      <c r="AF52" s="4" t="str">
        <f t="shared" si="29"/>
        <v/>
      </c>
      <c r="AG52" s="4" t="str">
        <f t="shared" si="30"/>
        <v/>
      </c>
      <c r="AH52" s="4" t="str">
        <f t="shared" si="31"/>
        <v/>
      </c>
    </row>
    <row r="53" spans="1:3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S53" s="4" t="str">
        <f t="shared" si="16"/>
        <v/>
      </c>
      <c r="T53" s="4" t="str">
        <f t="shared" si="17"/>
        <v/>
      </c>
      <c r="U53" s="4" t="str">
        <f t="shared" si="18"/>
        <v/>
      </c>
      <c r="V53" s="4" t="str">
        <f t="shared" si="19"/>
        <v/>
      </c>
      <c r="W53" s="4" t="str">
        <f t="shared" si="20"/>
        <v/>
      </c>
      <c r="X53" s="4" t="str">
        <f t="shared" si="21"/>
        <v/>
      </c>
      <c r="Y53" s="4" t="str">
        <f t="shared" si="22"/>
        <v/>
      </c>
      <c r="Z53" s="4" t="str">
        <f t="shared" si="23"/>
        <v/>
      </c>
      <c r="AA53" s="4" t="str">
        <f t="shared" si="24"/>
        <v/>
      </c>
      <c r="AB53" s="4" t="str">
        <f t="shared" si="25"/>
        <v/>
      </c>
      <c r="AC53" s="4" t="str">
        <f t="shared" si="26"/>
        <v/>
      </c>
      <c r="AD53" s="4" t="str">
        <f t="shared" si="27"/>
        <v/>
      </c>
      <c r="AE53" s="4" t="str">
        <f t="shared" si="28"/>
        <v/>
      </c>
      <c r="AF53" s="4" t="str">
        <f t="shared" si="29"/>
        <v/>
      </c>
      <c r="AG53" s="4" t="str">
        <f t="shared" si="30"/>
        <v/>
      </c>
      <c r="AH53" s="4" t="str">
        <f t="shared" si="31"/>
        <v/>
      </c>
    </row>
    <row r="54" spans="1:3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S54" s="4" t="str">
        <f t="shared" si="16"/>
        <v/>
      </c>
      <c r="T54" s="4" t="str">
        <f t="shared" si="17"/>
        <v/>
      </c>
      <c r="U54" s="4" t="str">
        <f t="shared" si="18"/>
        <v/>
      </c>
      <c r="V54" s="4" t="str">
        <f t="shared" si="19"/>
        <v/>
      </c>
      <c r="W54" s="4" t="str">
        <f t="shared" si="20"/>
        <v/>
      </c>
      <c r="X54" s="4" t="str">
        <f t="shared" si="21"/>
        <v/>
      </c>
      <c r="Y54" s="4" t="str">
        <f t="shared" si="22"/>
        <v/>
      </c>
      <c r="Z54" s="4" t="str">
        <f t="shared" si="23"/>
        <v/>
      </c>
      <c r="AA54" s="4" t="str">
        <f t="shared" si="24"/>
        <v/>
      </c>
      <c r="AB54" s="4" t="str">
        <f t="shared" si="25"/>
        <v/>
      </c>
      <c r="AC54" s="4" t="str">
        <f t="shared" si="26"/>
        <v/>
      </c>
      <c r="AD54" s="4" t="str">
        <f t="shared" si="27"/>
        <v/>
      </c>
      <c r="AE54" s="4" t="str">
        <f t="shared" si="28"/>
        <v/>
      </c>
      <c r="AF54" s="4" t="str">
        <f t="shared" si="29"/>
        <v/>
      </c>
      <c r="AG54" s="4" t="str">
        <f t="shared" si="30"/>
        <v/>
      </c>
      <c r="AH54" s="4" t="str">
        <f t="shared" si="31"/>
        <v/>
      </c>
    </row>
    <row r="55" spans="1:3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S55" s="4" t="str">
        <f t="shared" si="16"/>
        <v/>
      </c>
      <c r="T55" s="4" t="str">
        <f t="shared" si="17"/>
        <v/>
      </c>
      <c r="U55" s="4" t="str">
        <f t="shared" si="18"/>
        <v/>
      </c>
      <c r="V55" s="4" t="str">
        <f t="shared" si="19"/>
        <v/>
      </c>
      <c r="W55" s="4" t="str">
        <f t="shared" si="20"/>
        <v/>
      </c>
      <c r="X55" s="4" t="str">
        <f t="shared" si="21"/>
        <v/>
      </c>
      <c r="Y55" s="4" t="str">
        <f t="shared" si="22"/>
        <v/>
      </c>
      <c r="Z55" s="4" t="str">
        <f t="shared" si="23"/>
        <v/>
      </c>
      <c r="AA55" s="4" t="str">
        <f t="shared" si="24"/>
        <v/>
      </c>
      <c r="AB55" s="4" t="str">
        <f t="shared" si="25"/>
        <v/>
      </c>
      <c r="AC55" s="4" t="str">
        <f t="shared" si="26"/>
        <v/>
      </c>
      <c r="AD55" s="4" t="str">
        <f t="shared" si="27"/>
        <v/>
      </c>
      <c r="AE55" s="4" t="str">
        <f t="shared" si="28"/>
        <v/>
      </c>
      <c r="AF55" s="4" t="str">
        <f t="shared" si="29"/>
        <v/>
      </c>
      <c r="AG55" s="4" t="str">
        <f t="shared" si="30"/>
        <v/>
      </c>
      <c r="AH55" s="4" t="str">
        <f t="shared" si="31"/>
        <v/>
      </c>
    </row>
  </sheetData>
  <mergeCells count="5">
    <mergeCell ref="A1:AH1"/>
    <mergeCell ref="A2:AH2"/>
    <mergeCell ref="A3:AH3"/>
    <mergeCell ref="A4:Q4"/>
    <mergeCell ref="S4:AH4"/>
  </mergeCells>
  <dataValidations count="9">
    <dataValidation type="whole" allowBlank="1" showInputMessage="1" showErrorMessage="1" sqref="E6:E55" xr:uid="{00000000-0002-0000-0000-000000000000}">
      <formula1>1</formula1>
      <formula2>5</formula2>
    </dataValidation>
    <dataValidation type="whole" allowBlank="1" showInputMessage="1" showErrorMessage="1" sqref="K6:Q55" xr:uid="{00000000-0002-0000-0000-000001000000}">
      <formula1>1</formula1>
      <formula2>6</formula2>
    </dataValidation>
    <dataValidation type="whole" allowBlank="1" showInputMessage="1" showErrorMessage="1" sqref="B6:B55" xr:uid="{00000000-0002-0000-0000-000008000000}">
      <formula1>17</formula1>
      <formula2>70</formula2>
    </dataValidation>
    <dataValidation type="whole" allowBlank="1" showInputMessage="1" showErrorMessage="1" sqref="C6:C55" xr:uid="{00000000-0002-0000-0000-000009000000}">
      <formula1>0</formula1>
      <formula2>300</formula2>
    </dataValidation>
    <dataValidation type="whole" allowBlank="1" showInputMessage="1" showErrorMessage="1" sqref="D6:D55" xr:uid="{00000000-0002-0000-0000-00000A000000}">
      <formula1>1</formula1>
      <formula2>16</formula2>
    </dataValidation>
    <dataValidation type="list" allowBlank="1" showInputMessage="1" showErrorMessage="1" sqref="F6:F55" xr:uid="{00000000-0002-0000-0000-00000B000000}">
      <formula1>"Continuada,Única"</formula1>
    </dataValidation>
    <dataValidation type="list" allowBlank="1" showInputMessage="1" showErrorMessage="1" sqref="G6:G55" xr:uid="{00000000-0002-0000-0000-00000C000000}">
      <formula1>"1r,2n,3r,4t,5è,6è"</formula1>
    </dataValidation>
    <dataValidation type="list" allowBlank="1" showInputMessage="1" showErrorMessage="1" sqref="H6:H55" xr:uid="{00000000-0002-0000-0000-00000D000000}">
      <formula1>"Home,Dona,Altre"</formula1>
    </dataValidation>
    <dataValidation type="list" allowBlank="1" showInputMessage="1" showErrorMessage="1" sqref="J6:J55" xr:uid="{00000000-0002-0000-0000-00000F000000}">
      <formula1>"Estudiant a TC,Treballa ocasionalment,T.Parcial,T.Complet"</formula1>
    </dataValidation>
  </dataValidations>
  <pageMargins left="0.7" right="0.7" top="0.75" bottom="0.75" header="0.3" footer="0.3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E000000}">
          <x14:formula1>
            <xm:f>Llistes!$A$2:$A$12</xm:f>
          </x14:formula1>
          <xm:sqref>I6:I55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baseColWidth="10" defaultRowHeight="15" x14ac:dyDescent="0.25"/>
  <cols>
    <col min="1" max="1" width="90.7109375" customWidth="1"/>
  </cols>
  <sheetData>
    <row r="1" spans="1:1" ht="15.75" x14ac:dyDescent="0.25">
      <c r="A1" s="5" t="s">
        <v>39</v>
      </c>
    </row>
    <row r="2" spans="1:1" x14ac:dyDescent="0.25">
      <c r="A2" s="6" t="s">
        <v>40</v>
      </c>
    </row>
    <row r="3" spans="1:1" x14ac:dyDescent="0.25">
      <c r="A3" s="6" t="s">
        <v>41</v>
      </c>
    </row>
    <row r="4" spans="1:1" x14ac:dyDescent="0.25">
      <c r="A4" s="6" t="s">
        <v>42</v>
      </c>
    </row>
    <row r="5" spans="1:1" x14ac:dyDescent="0.25">
      <c r="A5" s="6" t="s">
        <v>43</v>
      </c>
    </row>
    <row r="6" spans="1:1" x14ac:dyDescent="0.25">
      <c r="A6" s="6" t="s">
        <v>44</v>
      </c>
    </row>
    <row r="7" spans="1:1" x14ac:dyDescent="0.25">
      <c r="A7" s="6" t="s">
        <v>45</v>
      </c>
    </row>
    <row r="8" spans="1:1" x14ac:dyDescent="0.25">
      <c r="A8" s="6" t="s">
        <v>46</v>
      </c>
    </row>
    <row r="9" spans="1:1" x14ac:dyDescent="0.25">
      <c r="A9" s="6" t="s">
        <v>47</v>
      </c>
    </row>
    <row r="10" spans="1:1" x14ac:dyDescent="0.25">
      <c r="A10" s="6" t="s">
        <v>40</v>
      </c>
    </row>
    <row r="11" spans="1:1" x14ac:dyDescent="0.25">
      <c r="A11" s="6" t="s">
        <v>48</v>
      </c>
    </row>
    <row r="12" spans="1:1" x14ac:dyDescent="0.25">
      <c r="A12" s="6" t="s">
        <v>40</v>
      </c>
    </row>
    <row r="13" spans="1:1" x14ac:dyDescent="0.25">
      <c r="A13" s="6" t="s">
        <v>49</v>
      </c>
    </row>
    <row r="14" spans="1:1" x14ac:dyDescent="0.25">
      <c r="A14" s="6" t="s">
        <v>50</v>
      </c>
    </row>
    <row r="15" spans="1:1" x14ac:dyDescent="0.25">
      <c r="A15" s="6" t="s">
        <v>40</v>
      </c>
    </row>
    <row r="16" spans="1:1" x14ac:dyDescent="0.25">
      <c r="A16" s="6" t="s">
        <v>51</v>
      </c>
    </row>
    <row r="17" spans="1:1" x14ac:dyDescent="0.25">
      <c r="A17" s="6" t="s">
        <v>52</v>
      </c>
    </row>
    <row r="18" spans="1:1" x14ac:dyDescent="0.25">
      <c r="A18" s="6" t="s">
        <v>40</v>
      </c>
    </row>
    <row r="19" spans="1:1" x14ac:dyDescent="0.25">
      <c r="A19" s="6" t="s">
        <v>53</v>
      </c>
    </row>
    <row r="20" spans="1:1" x14ac:dyDescent="0.25">
      <c r="A20" s="6" t="s">
        <v>40</v>
      </c>
    </row>
    <row r="21" spans="1:1" x14ac:dyDescent="0.25">
      <c r="A21" s="6" t="s">
        <v>54</v>
      </c>
    </row>
    <row r="22" spans="1:1" x14ac:dyDescent="0.25">
      <c r="A22" s="6" t="s">
        <v>40</v>
      </c>
    </row>
    <row r="23" spans="1:1" x14ac:dyDescent="0.25">
      <c r="A23" s="6" t="s">
        <v>55</v>
      </c>
    </row>
    <row r="24" spans="1:1" x14ac:dyDescent="0.25">
      <c r="A24" s="6" t="s">
        <v>56</v>
      </c>
    </row>
    <row r="25" spans="1:1" x14ac:dyDescent="0.25">
      <c r="A25" s="6" t="s">
        <v>57</v>
      </c>
    </row>
    <row r="26" spans="1:1" x14ac:dyDescent="0.25">
      <c r="A26" s="6" t="s">
        <v>40</v>
      </c>
    </row>
    <row r="27" spans="1:1" x14ac:dyDescent="0.25">
      <c r="A27" s="6" t="s">
        <v>58</v>
      </c>
    </row>
    <row r="28" spans="1:1" x14ac:dyDescent="0.25">
      <c r="A28" s="6" t="s">
        <v>59</v>
      </c>
    </row>
    <row r="29" spans="1:1" x14ac:dyDescent="0.25">
      <c r="A29" s="6" t="s">
        <v>60</v>
      </c>
    </row>
    <row r="30" spans="1:1" x14ac:dyDescent="0.25">
      <c r="A30" s="6" t="s">
        <v>61</v>
      </c>
    </row>
    <row r="31" spans="1:1" x14ac:dyDescent="0.25">
      <c r="A31" s="6" t="s">
        <v>62</v>
      </c>
    </row>
    <row r="32" spans="1:1" x14ac:dyDescent="0.25">
      <c r="A32" s="6" t="s">
        <v>40</v>
      </c>
    </row>
    <row r="33" spans="1:1" x14ac:dyDescent="0.25">
      <c r="A33" s="6" t="s">
        <v>63</v>
      </c>
    </row>
    <row r="34" spans="1:1" x14ac:dyDescent="0.25">
      <c r="A34" s="6" t="s">
        <v>64</v>
      </c>
    </row>
    <row r="35" spans="1:1" x14ac:dyDescent="0.25">
      <c r="A35" s="6" t="s">
        <v>40</v>
      </c>
    </row>
    <row r="36" spans="1:1" x14ac:dyDescent="0.25">
      <c r="A36" s="6" t="s">
        <v>65</v>
      </c>
    </row>
    <row r="37" spans="1:1" ht="26.25" x14ac:dyDescent="0.25">
      <c r="A37" s="6" t="s">
        <v>66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baseColWidth="10"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Instruccions</vt:lpstr>
      <vt:lpstr>Llistes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Edurne</dc:creator>
  <cp:lastModifiedBy>Edurne Alvarez</cp:lastModifiedBy>
  <dcterms:created xsi:type="dcterms:W3CDTF">2026-06-16T15:43:01Z</dcterms:created>
  <dcterms:modified xsi:type="dcterms:W3CDTF">2026-06-16T15:52:09Z</dcterms:modified>
</cp:coreProperties>
</file>